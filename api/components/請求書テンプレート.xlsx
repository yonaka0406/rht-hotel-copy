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meida.ped_redhorse\Documents\GitHub\rht-hotel\api\components\"/>
    </mc:Choice>
  </mc:AlternateContent>
  <xr:revisionPtr revIDLastSave="0" documentId="13_ncr:1_{433CA619-BC07-4807-B479-AFAE527AA0E5}" xr6:coauthVersionLast="47" xr6:coauthVersionMax="47" xr10:uidLastSave="{00000000-0000-0000-0000-000000000000}"/>
  <bookViews>
    <workbookView xWindow="-23475" yWindow="6195" windowWidth="21600" windowHeight="12675" xr2:uid="{00000000-000D-0000-FFFF-FFFF00000000}"/>
  </bookViews>
  <sheets>
    <sheet name="請求書フォーマッ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A20" i="1"/>
  <c r="I24" i="1"/>
  <c r="I28" i="1" s="1"/>
  <c r="I27" i="1" l="1"/>
  <c r="D16" i="1"/>
  <c r="I25" i="1"/>
</calcChain>
</file>

<file path=xl/sharedStrings.xml><?xml version="1.0" encoding="utf-8"?>
<sst xmlns="http://schemas.openxmlformats.org/spreadsheetml/2006/main" count="32" uniqueCount="30">
  <si>
    <t>請　求　書</t>
  </si>
  <si>
    <t>請求No.</t>
  </si>
  <si>
    <t>請求日</t>
  </si>
  <si>
    <t>御中</t>
  </si>
  <si>
    <t>下記の通り、ご請求申し上げます。</t>
  </si>
  <si>
    <t>件名</t>
  </si>
  <si>
    <t>ワークマンハウス　宿泊料</t>
  </si>
  <si>
    <t>レッドホーストラスト株式会社</t>
  </si>
  <si>
    <t>お支払期限</t>
  </si>
  <si>
    <t>〒060-0061 
札幌市中央区南1条西2丁目5番地
南一条Kビル8階
TEL : 011-206-1831
FAX : 050-3606-5764</t>
  </si>
  <si>
    <t>お振込先</t>
  </si>
  <si>
    <t>登録番号：T2430001042062</t>
  </si>
  <si>
    <t>担当者：</t>
  </si>
  <si>
    <t>合計金額</t>
  </si>
  <si>
    <t>（税込）</t>
  </si>
  <si>
    <t>No.</t>
  </si>
  <si>
    <t>摘要</t>
  </si>
  <si>
    <t>数量</t>
  </si>
  <si>
    <t>金額</t>
  </si>
  <si>
    <t>宿泊料</t>
  </si>
  <si>
    <t>泊</t>
  </si>
  <si>
    <t>内消費税</t>
  </si>
  <si>
    <t>内訳</t>
  </si>
  <si>
    <t>10％対象</t>
  </si>
  <si>
    <t>消費税</t>
  </si>
  <si>
    <t>8％対象</t>
  </si>
  <si>
    <t>備考</t>
  </si>
  <si>
    <r>
      <t xml:space="preserve">
</t>
    </r>
    <r>
      <rPr>
        <sz val="12"/>
        <color rgb="FF000000"/>
        <rFont val="ＭＳ ゴシック"/>
        <family val="3"/>
        <charset val="128"/>
      </rPr>
      <t>【宿泊明細】
・期間：　</t>
    </r>
    <r>
      <rPr>
        <sz val="12"/>
        <color rgb="FF000000"/>
        <rFont val="Arial"/>
        <family val="2"/>
        <scheme val="minor"/>
      </rPr>
      <t xml:space="preserve"> /  /   </t>
    </r>
    <r>
      <rPr>
        <sz val="12"/>
        <color rgb="FF000000"/>
        <rFont val="ＭＳ ゴシック"/>
        <family val="3"/>
        <charset val="128"/>
      </rPr>
      <t>～</t>
    </r>
    <r>
      <rPr>
        <sz val="12"/>
        <color rgb="FF000000"/>
        <rFont val="Arial"/>
        <family val="2"/>
        <scheme val="minor"/>
      </rPr>
      <t xml:space="preserve">    /   </t>
    </r>
    <r>
      <rPr>
        <sz val="12"/>
        <color rgb="FF000000"/>
        <rFont val="ＭＳ ゴシック"/>
        <family val="3"/>
        <charset val="128"/>
      </rPr>
      <t>、</t>
    </r>
    <r>
      <rPr>
        <sz val="12"/>
        <color rgb="FF000000"/>
        <rFont val="Arial"/>
        <family val="2"/>
        <scheme val="minor"/>
      </rPr>
      <t xml:space="preserve">   </t>
    </r>
    <r>
      <rPr>
        <sz val="12"/>
        <color rgb="FF000000"/>
        <rFont val="ＭＳ ゴシック"/>
        <family val="3"/>
        <charset val="128"/>
      </rPr>
      <t>名、宿泊日数：</t>
    </r>
    <r>
      <rPr>
        <sz val="12"/>
        <color rgb="FF000000"/>
        <rFont val="Arial"/>
        <family val="2"/>
        <scheme val="minor"/>
      </rPr>
      <t xml:space="preserve">    </t>
    </r>
    <r>
      <rPr>
        <sz val="12"/>
        <color rgb="FF000000"/>
        <rFont val="ＭＳ ゴシック"/>
        <family val="3"/>
        <charset val="128"/>
      </rPr>
      <t>泊（土日を除く）
＊冬季暖房料金（期間</t>
    </r>
    <r>
      <rPr>
        <sz val="12"/>
        <color rgb="FF000000"/>
        <rFont val="Arial"/>
        <family val="2"/>
        <scheme val="minor"/>
      </rPr>
      <t>:11</t>
    </r>
    <r>
      <rPr>
        <sz val="12"/>
        <color rgb="FF000000"/>
        <rFont val="ＭＳ ゴシック"/>
        <family val="3"/>
        <charset val="128"/>
      </rPr>
      <t>～</t>
    </r>
    <r>
      <rPr>
        <sz val="12"/>
        <color rgb="FF000000"/>
        <rFont val="Arial"/>
        <family val="2"/>
        <scheme val="minor"/>
      </rPr>
      <t>4</t>
    </r>
    <r>
      <rPr>
        <sz val="12"/>
        <color rgb="FF000000"/>
        <rFont val="ＭＳ ゴシック"/>
        <family val="3"/>
        <charset val="128"/>
      </rPr>
      <t>月）として、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ＭＳ ゴシック"/>
        <family val="3"/>
        <charset val="128"/>
      </rPr>
      <t>泊</t>
    </r>
    <r>
      <rPr>
        <sz val="12"/>
        <color rgb="FF000000"/>
        <rFont val="Arial"/>
        <family val="2"/>
        <scheme val="minor"/>
      </rPr>
      <t>500</t>
    </r>
    <r>
      <rPr>
        <sz val="12"/>
        <color rgb="FF000000"/>
        <rFont val="ＭＳ ゴシック"/>
        <family val="3"/>
        <charset val="128"/>
      </rPr>
      <t xml:space="preserve">円が含まれます。
</t>
    </r>
    <phoneticPr fontId="18"/>
  </si>
  <si>
    <r>
      <rPr>
        <sz val="12"/>
        <rFont val="MS UI Gothic"/>
        <family val="2"/>
        <charset val="1"/>
      </rPr>
      <t>※</t>
    </r>
    <r>
      <rPr>
        <sz val="12"/>
        <rFont val="Arial"/>
        <family val="2"/>
      </rPr>
      <t xml:space="preserve"> </t>
    </r>
    <r>
      <rPr>
        <sz val="12"/>
        <rFont val="游ゴシック"/>
        <family val="2"/>
        <charset val="128"/>
      </rPr>
      <t>振込手数料は貴社負担にて願います。</t>
    </r>
    <phoneticPr fontId="18"/>
  </si>
  <si>
    <t>取引先コード：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</si>
</sst>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yyyy/mm/dd"/>
    <numFmt numFmtId="178" formatCode="[$-F800]dddd\,\ mmmm\ dd\,\ yyyy"/>
  </numFmts>
  <fonts count="25" x14ac:knownFonts="1">
    <font>
      <sz val="10"/>
      <color rgb="FF000000"/>
      <name val="Arial"/>
      <scheme val="minor"/>
    </font>
    <font>
      <sz val="18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0"/>
      <name val="Arial"/>
      <family val="2"/>
      <scheme val="minor"/>
    </font>
    <font>
      <sz val="6"/>
      <name val="Arial"/>
      <family val="3"/>
      <charset val="128"/>
      <scheme val="minor"/>
    </font>
    <font>
      <sz val="12"/>
      <color rgb="FF000000"/>
      <name val="ＭＳ ゴシック"/>
      <family val="3"/>
      <charset val="128"/>
    </font>
    <font>
      <sz val="12"/>
      <name val="Arial"/>
      <family val="2"/>
      <charset val="1"/>
    </font>
    <font>
      <sz val="12"/>
      <name val="MS UI Gothic"/>
      <family val="2"/>
      <charset val="1"/>
    </font>
    <font>
      <sz val="12"/>
      <name val="Arial"/>
      <family val="2"/>
    </font>
    <font>
      <sz val="12"/>
      <name val="游ゴシック"/>
      <family val="2"/>
      <charset val="128"/>
    </font>
    <font>
      <sz val="8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5" fillId="0" borderId="1" xfId="0" applyFont="1" applyBorder="1"/>
    <xf numFmtId="0" fontId="16" fillId="0" borderId="1" xfId="0" applyFont="1" applyBorder="1"/>
    <xf numFmtId="0" fontId="17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4" fillId="0" borderId="6" xfId="0" applyFont="1" applyBorder="1" applyAlignment="1">
      <alignment vertical="center"/>
    </xf>
    <xf numFmtId="0" fontId="7" fillId="0" borderId="7" xfId="0" applyFont="1" applyBorder="1"/>
    <xf numFmtId="0" fontId="8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" xfId="0" applyFont="1" applyBorder="1"/>
    <xf numFmtId="0" fontId="7" fillId="0" borderId="11" xfId="0" applyFont="1" applyBorder="1"/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12" xfId="0" applyFont="1" applyBorder="1"/>
    <xf numFmtId="6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6" fontId="4" fillId="0" borderId="3" xfId="0" applyNumberFormat="1" applyFont="1" applyBorder="1" applyAlignment="1">
      <alignment vertical="center"/>
    </xf>
    <xf numFmtId="6" fontId="15" fillId="0" borderId="4" xfId="0" applyNumberFormat="1" applyFont="1" applyBorder="1" applyAlignment="1">
      <alignment horizontal="right"/>
    </xf>
    <xf numFmtId="6" fontId="15" fillId="0" borderId="1" xfId="0" applyNumberFormat="1" applyFont="1" applyBorder="1" applyAlignment="1">
      <alignment horizontal="right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3" fillId="3" borderId="3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4" fillId="3" borderId="3" xfId="0" applyFont="1" applyFill="1" applyBorder="1" applyAlignment="1">
      <alignment horizontal="center"/>
    </xf>
    <xf numFmtId="178" fontId="4" fillId="0" borderId="3" xfId="0" applyNumberFormat="1" applyFont="1" applyBorder="1" applyAlignment="1">
      <alignment horizontal="left" vertical="center"/>
    </xf>
    <xf numFmtId="178" fontId="7" fillId="0" borderId="4" xfId="0" applyNumberFormat="1" applyFont="1" applyBorder="1"/>
    <xf numFmtId="178" fontId="7" fillId="0" borderId="5" xfId="0" applyNumberFormat="1" applyFont="1" applyBorder="1"/>
    <xf numFmtId="178" fontId="4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190500</xdr:colOff>
      <xdr:row>5</xdr:row>
      <xdr:rowOff>19050</xdr:rowOff>
    </xdr:from>
    <xdr:ext cx="771525" cy="771525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4"/>
  <sheetViews>
    <sheetView showGridLines="0" tabSelected="1" workbookViewId="0">
      <selection activeCell="L2" sqref="L2:O2"/>
    </sheetView>
  </sheetViews>
  <sheetFormatPr defaultColWidth="12.6328125" defaultRowHeight="15.75" customHeight="1" x14ac:dyDescent="0.25"/>
  <cols>
    <col min="1" max="5" width="5" customWidth="1"/>
    <col min="6" max="6" width="14.7265625" customWidth="1"/>
    <col min="7" max="7" width="8.6328125" customWidth="1"/>
    <col min="8" max="8" width="5.36328125" customWidth="1"/>
    <col min="9" max="9" width="4.36328125" customWidth="1"/>
    <col min="10" max="10" width="5.08984375" customWidth="1"/>
    <col min="11" max="11" width="4.26953125" customWidth="1"/>
    <col min="12" max="14" width="4.08984375" customWidth="1"/>
    <col min="15" max="15" width="5.453125" customWidth="1"/>
    <col min="16" max="16" width="3.7265625" customWidth="1"/>
    <col min="17" max="17" width="4.36328125" customWidth="1"/>
    <col min="18" max="18" width="2.36328125" customWidth="1"/>
    <col min="19" max="19" width="5" customWidth="1"/>
    <col min="20" max="20" width="10.6328125" customWidth="1"/>
    <col min="21" max="21" width="14.08984375" customWidth="1"/>
    <col min="22" max="26" width="5" customWidth="1"/>
  </cols>
  <sheetData>
    <row r="1" spans="1:26" ht="19.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1"/>
      <c r="J1" s="21" t="s">
        <v>1</v>
      </c>
      <c r="K1" s="20"/>
      <c r="L1" s="22"/>
      <c r="M1" s="23"/>
      <c r="N1" s="23"/>
      <c r="O1" s="23"/>
      <c r="P1" s="2"/>
      <c r="Q1" s="2"/>
      <c r="R1" s="3"/>
      <c r="W1" s="3"/>
      <c r="X1" s="3"/>
      <c r="Y1" s="3"/>
      <c r="Z1" s="3"/>
    </row>
    <row r="2" spans="1:26" ht="19.5" customHeight="1" x14ac:dyDescent="0.25">
      <c r="A2" s="20"/>
      <c r="B2" s="20"/>
      <c r="C2" s="20"/>
      <c r="D2" s="20"/>
      <c r="E2" s="20"/>
      <c r="F2" s="20"/>
      <c r="G2" s="20"/>
      <c r="H2" s="20"/>
      <c r="I2" s="1"/>
      <c r="J2" s="21" t="s">
        <v>2</v>
      </c>
      <c r="K2" s="20"/>
      <c r="L2" s="70" t="e">
        <f>EDATE(D10+1,-1)-1</f>
        <v>#NUM!</v>
      </c>
      <c r="M2" s="71"/>
      <c r="N2" s="71"/>
      <c r="O2" s="71"/>
      <c r="P2" s="4"/>
      <c r="Q2" s="4"/>
      <c r="R2" s="3"/>
      <c r="W2" s="3"/>
      <c r="X2" s="3"/>
      <c r="Y2" s="3"/>
      <c r="Z2" s="3"/>
    </row>
    <row r="3" spans="1:26" ht="10.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W3" s="3"/>
      <c r="X3" s="3"/>
      <c r="Y3" s="3"/>
      <c r="Z3" s="3"/>
    </row>
    <row r="4" spans="1:26" ht="26.25" customHeight="1" x14ac:dyDescent="0.25">
      <c r="A4" s="24"/>
      <c r="B4" s="25"/>
      <c r="C4" s="25"/>
      <c r="D4" s="25"/>
      <c r="E4" s="25"/>
      <c r="F4" s="25"/>
      <c r="G4" s="25"/>
      <c r="H4" s="25"/>
      <c r="I4" s="5"/>
      <c r="J4" s="3" t="s">
        <v>3</v>
      </c>
      <c r="L4" s="3"/>
      <c r="M4" s="3"/>
      <c r="N4" s="3"/>
      <c r="O4" s="3"/>
      <c r="P4" s="3"/>
      <c r="Q4" s="3"/>
      <c r="R4" s="3"/>
      <c r="W4" s="3"/>
      <c r="X4" s="3"/>
      <c r="Y4" s="3"/>
      <c r="Z4" s="3"/>
    </row>
    <row r="5" spans="1:26" ht="10.5" customHeight="1" x14ac:dyDescent="0.25">
      <c r="A5" s="35" t="s">
        <v>29</v>
      </c>
      <c r="B5" s="35"/>
      <c r="C5" s="35"/>
      <c r="D5" s="26"/>
      <c r="E5" s="27"/>
      <c r="F5" s="27"/>
      <c r="G5" s="27"/>
      <c r="H5" s="27"/>
      <c r="I5" s="3"/>
      <c r="J5" s="3"/>
      <c r="K5" s="3"/>
      <c r="L5" s="3"/>
      <c r="M5" s="3"/>
      <c r="N5" s="3"/>
      <c r="O5" s="3"/>
      <c r="P5" s="3"/>
      <c r="Q5" s="3"/>
      <c r="R5" s="3"/>
      <c r="W5" s="3"/>
      <c r="X5" s="3"/>
      <c r="Y5" s="3"/>
      <c r="Z5" s="3"/>
    </row>
    <row r="6" spans="1:26" ht="10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W6" s="3"/>
      <c r="X6" s="3"/>
      <c r="Y6" s="3"/>
      <c r="Z6" s="3"/>
    </row>
    <row r="7" spans="1:26" ht="19.5" customHeight="1" x14ac:dyDescent="0.25">
      <c r="A7" s="34" t="s">
        <v>4</v>
      </c>
      <c r="B7" s="34"/>
      <c r="C7" s="34"/>
      <c r="D7" s="34"/>
      <c r="E7" s="34"/>
      <c r="F7" s="34"/>
      <c r="G7" s="34"/>
      <c r="H7" s="34"/>
      <c r="I7" s="3"/>
      <c r="J7" s="3"/>
      <c r="K7" s="3"/>
      <c r="L7" s="3"/>
      <c r="M7" s="3"/>
      <c r="N7" s="3"/>
      <c r="O7" s="3"/>
      <c r="P7" s="3"/>
      <c r="Q7" s="3"/>
      <c r="R7" s="3"/>
      <c r="W7" s="3"/>
      <c r="X7" s="3"/>
      <c r="Y7" s="3"/>
      <c r="Z7" s="3"/>
    </row>
    <row r="8" spans="1:26" ht="9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W8" s="3"/>
      <c r="X8" s="3"/>
      <c r="Y8" s="3"/>
      <c r="Z8" s="3"/>
    </row>
    <row r="9" spans="1:26" ht="24" customHeight="1" x14ac:dyDescent="0.25">
      <c r="A9" s="32" t="s">
        <v>5</v>
      </c>
      <c r="B9" s="28"/>
      <c r="C9" s="29"/>
      <c r="D9" s="33" t="s">
        <v>6</v>
      </c>
      <c r="E9" s="28"/>
      <c r="F9" s="28"/>
      <c r="G9" s="28"/>
      <c r="H9" s="29"/>
      <c r="I9" s="3"/>
      <c r="J9" s="36" t="s">
        <v>7</v>
      </c>
      <c r="K9" s="20"/>
      <c r="L9" s="20"/>
      <c r="M9" s="20"/>
      <c r="N9" s="20"/>
      <c r="O9" s="20"/>
      <c r="P9" s="20"/>
      <c r="Q9" s="2"/>
      <c r="R9" s="3"/>
      <c r="S9" s="7"/>
      <c r="T9" s="8"/>
      <c r="U9" s="3"/>
      <c r="V9" s="3"/>
      <c r="W9" s="3"/>
      <c r="X9" s="3"/>
      <c r="Y9" s="3"/>
      <c r="Z9" s="3"/>
    </row>
    <row r="10" spans="1:26" ht="24" customHeight="1" x14ac:dyDescent="0.25">
      <c r="A10" s="37" t="s">
        <v>8</v>
      </c>
      <c r="B10" s="27"/>
      <c r="C10" s="31"/>
      <c r="D10" s="67"/>
      <c r="E10" s="68"/>
      <c r="F10" s="68"/>
      <c r="G10" s="68"/>
      <c r="H10" s="69"/>
      <c r="I10" s="3"/>
      <c r="J10" s="52" t="s">
        <v>9</v>
      </c>
      <c r="K10" s="53"/>
      <c r="L10" s="53"/>
      <c r="M10" s="53"/>
      <c r="N10" s="53"/>
      <c r="O10" s="53"/>
      <c r="P10" s="53"/>
      <c r="Q10" s="9"/>
      <c r="R10" s="3"/>
      <c r="S10" s="10"/>
      <c r="T10" s="7"/>
      <c r="U10" s="3"/>
      <c r="V10" s="3"/>
      <c r="W10" s="3"/>
      <c r="X10" s="3"/>
      <c r="Y10" s="3"/>
      <c r="Z10" s="3"/>
    </row>
    <row r="11" spans="1:26" ht="19.5" customHeight="1" x14ac:dyDescent="0.25">
      <c r="A11" s="37" t="s">
        <v>10</v>
      </c>
      <c r="B11" s="27"/>
      <c r="C11" s="31"/>
      <c r="D11" s="30"/>
      <c r="E11" s="27"/>
      <c r="F11" s="27"/>
      <c r="G11" s="27"/>
      <c r="H11" s="31"/>
      <c r="I11" s="3"/>
      <c r="J11" s="53"/>
      <c r="K11" s="53"/>
      <c r="L11" s="53"/>
      <c r="M11" s="53"/>
      <c r="N11" s="53"/>
      <c r="O11" s="53"/>
      <c r="P11" s="53"/>
      <c r="Q11" s="9"/>
      <c r="R11" s="3"/>
      <c r="S11" s="10"/>
      <c r="T11" s="7"/>
      <c r="U11" s="3"/>
      <c r="V11" s="3"/>
      <c r="W11" s="3"/>
      <c r="X11" s="3"/>
      <c r="Y11" s="3"/>
      <c r="Z11" s="3"/>
    </row>
    <row r="12" spans="1:26" ht="19.5" customHeight="1" x14ac:dyDescent="0.25">
      <c r="A12" s="38"/>
      <c r="B12" s="20"/>
      <c r="C12" s="39"/>
      <c r="D12" s="44"/>
      <c r="E12" s="20"/>
      <c r="F12" s="20"/>
      <c r="G12" s="20"/>
      <c r="H12" s="39"/>
      <c r="I12" s="3"/>
      <c r="J12" s="53"/>
      <c r="K12" s="53"/>
      <c r="L12" s="53"/>
      <c r="M12" s="53"/>
      <c r="N12" s="53"/>
      <c r="O12" s="53"/>
      <c r="P12" s="53"/>
      <c r="Q12" s="9"/>
      <c r="R12" s="3"/>
      <c r="S12" s="7"/>
      <c r="T12" s="7"/>
      <c r="U12" s="3"/>
      <c r="V12" s="3"/>
      <c r="W12" s="3"/>
      <c r="X12" s="3"/>
      <c r="Y12" s="3"/>
      <c r="Z12" s="3"/>
    </row>
    <row r="13" spans="1:26" ht="19.5" customHeight="1" x14ac:dyDescent="0.25">
      <c r="A13" s="38"/>
      <c r="B13" s="20"/>
      <c r="C13" s="39"/>
      <c r="D13" s="44"/>
      <c r="E13" s="20"/>
      <c r="F13" s="20"/>
      <c r="G13" s="20"/>
      <c r="H13" s="39"/>
      <c r="I13" s="3"/>
      <c r="J13" s="53"/>
      <c r="K13" s="53"/>
      <c r="L13" s="53"/>
      <c r="M13" s="53"/>
      <c r="N13" s="53"/>
      <c r="O13" s="53"/>
      <c r="P13" s="53"/>
      <c r="Q13" s="9"/>
      <c r="R13" s="3"/>
      <c r="S13" s="7"/>
      <c r="T13" s="7"/>
      <c r="U13" s="3"/>
      <c r="V13" s="3"/>
      <c r="W13" s="3"/>
      <c r="X13" s="3"/>
      <c r="Y13" s="3"/>
      <c r="Z13" s="3"/>
    </row>
    <row r="14" spans="1:26" ht="19.5" customHeight="1" x14ac:dyDescent="0.25">
      <c r="A14" s="40"/>
      <c r="B14" s="41"/>
      <c r="C14" s="42"/>
      <c r="D14" s="43"/>
      <c r="E14" s="41"/>
      <c r="F14" s="41"/>
      <c r="G14" s="41"/>
      <c r="H14" s="42"/>
      <c r="I14" s="3"/>
      <c r="J14" s="34" t="s">
        <v>11</v>
      </c>
      <c r="K14" s="34"/>
      <c r="L14" s="34"/>
      <c r="M14" s="34"/>
      <c r="N14" s="34"/>
      <c r="O14" s="34"/>
      <c r="P14" s="3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 x14ac:dyDescent="0.25">
      <c r="A15" s="3"/>
      <c r="B15" s="11"/>
      <c r="C15" s="3"/>
      <c r="D15" s="3"/>
      <c r="E15" s="3"/>
      <c r="F15" s="3"/>
      <c r="G15" s="3"/>
      <c r="H15" s="3"/>
      <c r="I15" s="3"/>
      <c r="J15" s="34" t="s">
        <v>12</v>
      </c>
      <c r="K15" s="20"/>
      <c r="L15" s="20"/>
      <c r="M15" s="20"/>
      <c r="N15" s="20"/>
      <c r="O15" s="20"/>
      <c r="P15" s="20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5" t="s">
        <v>13</v>
      </c>
      <c r="B16" s="20"/>
      <c r="C16" s="20"/>
      <c r="D16" s="47">
        <f>I24</f>
        <v>0</v>
      </c>
      <c r="E16" s="20"/>
      <c r="F16" s="20"/>
      <c r="G16" s="20"/>
      <c r="H16" s="48" t="s">
        <v>14</v>
      </c>
      <c r="I16" s="20"/>
      <c r="J16" s="12"/>
      <c r="K16" s="3"/>
      <c r="L16" s="9"/>
      <c r="M16" s="9"/>
      <c r="N16" s="9"/>
      <c r="O16" s="9"/>
      <c r="P16" s="9"/>
      <c r="Q16" s="9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A19" s="13" t="s">
        <v>15</v>
      </c>
      <c r="B19" s="32" t="s">
        <v>16</v>
      </c>
      <c r="C19" s="28"/>
      <c r="D19" s="28"/>
      <c r="E19" s="28"/>
      <c r="F19" s="29"/>
      <c r="G19" s="32" t="s">
        <v>17</v>
      </c>
      <c r="H19" s="29"/>
      <c r="I19" s="54" t="s">
        <v>18</v>
      </c>
      <c r="J19" s="28"/>
      <c r="K19" s="28"/>
      <c r="L19" s="28"/>
      <c r="M19" s="28"/>
      <c r="N19" s="28"/>
      <c r="O19" s="28"/>
      <c r="P19" s="29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 x14ac:dyDescent="0.25">
      <c r="A20" s="14">
        <f>_xlfn.IFS(B20&gt;0,1,B20="","")</f>
        <v>1</v>
      </c>
      <c r="B20" s="33" t="s">
        <v>19</v>
      </c>
      <c r="C20" s="28"/>
      <c r="D20" s="28"/>
      <c r="E20" s="28"/>
      <c r="F20" s="29"/>
      <c r="G20" s="6"/>
      <c r="H20" s="15" t="s">
        <v>20</v>
      </c>
      <c r="I20" s="49"/>
      <c r="J20" s="28"/>
      <c r="K20" s="28"/>
      <c r="L20" s="28"/>
      <c r="M20" s="28"/>
      <c r="N20" s="28"/>
      <c r="O20" s="28"/>
      <c r="P20" s="29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 x14ac:dyDescent="0.25">
      <c r="A21" s="14"/>
      <c r="B21" s="33"/>
      <c r="C21" s="28"/>
      <c r="D21" s="28"/>
      <c r="E21" s="28"/>
      <c r="F21" s="29"/>
      <c r="G21" s="6"/>
      <c r="H21" s="15"/>
      <c r="I21" s="49"/>
      <c r="J21" s="28"/>
      <c r="K21" s="28"/>
      <c r="L21" s="28"/>
      <c r="M21" s="28"/>
      <c r="N21" s="28"/>
      <c r="O21" s="28"/>
      <c r="P21" s="29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 x14ac:dyDescent="0.25">
      <c r="A22" s="14"/>
      <c r="B22" s="33"/>
      <c r="C22" s="28"/>
      <c r="D22" s="28"/>
      <c r="E22" s="28"/>
      <c r="F22" s="29"/>
      <c r="G22" s="6"/>
      <c r="H22" s="15"/>
      <c r="I22" s="49"/>
      <c r="J22" s="28"/>
      <c r="K22" s="28"/>
      <c r="L22" s="28"/>
      <c r="M22" s="28"/>
      <c r="N22" s="28"/>
      <c r="O22" s="28"/>
      <c r="P22" s="29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 x14ac:dyDescent="0.25">
      <c r="A23" s="14"/>
      <c r="B23" s="33"/>
      <c r="C23" s="28"/>
      <c r="D23" s="28"/>
      <c r="E23" s="28"/>
      <c r="F23" s="29"/>
      <c r="G23" s="6"/>
      <c r="H23" s="15"/>
      <c r="I23" s="49"/>
      <c r="J23" s="28"/>
      <c r="K23" s="28"/>
      <c r="L23" s="28"/>
      <c r="M23" s="28"/>
      <c r="N23" s="28"/>
      <c r="O23" s="28"/>
      <c r="P23" s="29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 x14ac:dyDescent="0.35">
      <c r="A24" s="3"/>
      <c r="B24" s="3"/>
      <c r="C24" s="3"/>
      <c r="D24" s="3"/>
      <c r="E24" s="3"/>
      <c r="F24" s="3"/>
      <c r="G24" s="66" t="s">
        <v>13</v>
      </c>
      <c r="H24" s="29"/>
      <c r="I24" s="50">
        <f>SUM(I20:K23)</f>
        <v>0</v>
      </c>
      <c r="J24" s="28"/>
      <c r="K24" s="28"/>
      <c r="L24" s="28"/>
      <c r="M24" s="28"/>
      <c r="N24" s="28"/>
      <c r="O24" s="28"/>
      <c r="P24" s="29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 x14ac:dyDescent="0.35">
      <c r="A25" s="3"/>
      <c r="B25" s="3"/>
      <c r="C25" s="3"/>
      <c r="D25" s="3"/>
      <c r="E25" s="3"/>
      <c r="F25" s="3"/>
      <c r="G25" s="55" t="s">
        <v>21</v>
      </c>
      <c r="H25" s="42"/>
      <c r="I25" s="51">
        <f>ROUNDDOWN(I24*0.1/1.1,0)</f>
        <v>0</v>
      </c>
      <c r="J25" s="41"/>
      <c r="K25" s="41"/>
      <c r="L25" s="41"/>
      <c r="M25" s="41"/>
      <c r="N25" s="41"/>
      <c r="O25" s="41"/>
      <c r="P25" s="42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5">
      <c r="A26" s="3"/>
      <c r="B26" s="3"/>
      <c r="C26" s="3"/>
      <c r="D26" s="3"/>
      <c r="E26" s="3"/>
      <c r="F26" s="3"/>
      <c r="G26" s="16" t="s">
        <v>22</v>
      </c>
      <c r="H26" s="17"/>
      <c r="I26" s="17"/>
      <c r="J26" s="17"/>
      <c r="K26" s="17"/>
      <c r="L26" s="17"/>
      <c r="M26" s="17"/>
      <c r="N26" s="17"/>
      <c r="O26" s="17"/>
      <c r="P26" s="1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.25" customHeight="1" x14ac:dyDescent="0.35">
      <c r="A27" s="3"/>
      <c r="B27" s="3"/>
      <c r="C27" s="3"/>
      <c r="D27" s="3"/>
      <c r="E27" s="3"/>
      <c r="F27" s="3"/>
      <c r="G27" s="56" t="s">
        <v>23</v>
      </c>
      <c r="H27" s="42"/>
      <c r="I27" s="51">
        <f>I24-ROUNDDOWN(I24*0.1/1.1,0)</f>
        <v>0</v>
      </c>
      <c r="J27" s="41"/>
      <c r="K27" s="41"/>
      <c r="L27" s="41"/>
      <c r="M27" s="41"/>
      <c r="N27" s="41"/>
      <c r="O27" s="41"/>
      <c r="P27" s="42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.25" customHeight="1" x14ac:dyDescent="0.35">
      <c r="A28" s="3"/>
      <c r="B28" s="3"/>
      <c r="C28" s="3"/>
      <c r="D28" s="3"/>
      <c r="E28" s="3"/>
      <c r="F28" s="3"/>
      <c r="G28" s="55" t="s">
        <v>24</v>
      </c>
      <c r="H28" s="42"/>
      <c r="I28" s="51">
        <f>ROUNDDOWN(I24*0.1/1.1,0)</f>
        <v>0</v>
      </c>
      <c r="J28" s="41"/>
      <c r="K28" s="41"/>
      <c r="L28" s="41"/>
      <c r="M28" s="41"/>
      <c r="N28" s="41"/>
      <c r="O28" s="41"/>
      <c r="P28" s="42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25">
      <c r="A29" s="3"/>
      <c r="B29" s="3"/>
      <c r="C29" s="3"/>
      <c r="D29" s="3"/>
      <c r="E29" s="3"/>
      <c r="F29" s="3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0.25" customHeight="1" x14ac:dyDescent="0.35">
      <c r="A30" s="3"/>
      <c r="B30" s="3"/>
      <c r="C30" s="3"/>
      <c r="D30" s="3"/>
      <c r="E30" s="3"/>
      <c r="F30" s="3"/>
      <c r="G30" s="56" t="s">
        <v>25</v>
      </c>
      <c r="H30" s="42"/>
      <c r="I30" s="51"/>
      <c r="J30" s="41"/>
      <c r="K30" s="41"/>
      <c r="L30" s="41"/>
      <c r="M30" s="41"/>
      <c r="N30" s="41"/>
      <c r="O30" s="41"/>
      <c r="P30" s="42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25" customHeight="1" x14ac:dyDescent="0.35">
      <c r="A31" s="3"/>
      <c r="B31" s="3"/>
      <c r="C31" s="3"/>
      <c r="D31" s="3"/>
      <c r="E31" s="3"/>
      <c r="F31" s="3"/>
      <c r="G31" s="55" t="s">
        <v>24</v>
      </c>
      <c r="H31" s="42"/>
      <c r="I31" s="51"/>
      <c r="J31" s="41"/>
      <c r="K31" s="41"/>
      <c r="L31" s="41"/>
      <c r="M31" s="41"/>
      <c r="N31" s="41"/>
      <c r="O31" s="41"/>
      <c r="P31" s="42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8" customHeight="1" x14ac:dyDescent="0.25">
      <c r="A33" s="37" t="s">
        <v>26</v>
      </c>
      <c r="B33" s="31"/>
      <c r="C33" s="57" t="s">
        <v>27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8" customHeight="1" x14ac:dyDescent="0.25">
      <c r="A34" s="38"/>
      <c r="B34" s="39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2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8" customHeight="1" x14ac:dyDescent="0.25">
      <c r="A35" s="38"/>
      <c r="B35" s="39"/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2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9" customHeight="1" x14ac:dyDescent="0.6">
      <c r="A36" s="40"/>
      <c r="B36" s="42"/>
      <c r="C36" s="63" t="s">
        <v>28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 x14ac:dyDescent="0.25">
      <c r="A37" s="1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51">
    <mergeCell ref="B20:F20"/>
    <mergeCell ref="B21:F21"/>
    <mergeCell ref="B22:F22"/>
    <mergeCell ref="B23:F23"/>
    <mergeCell ref="G24:H24"/>
    <mergeCell ref="G30:H30"/>
    <mergeCell ref="G31:H31"/>
    <mergeCell ref="A33:B36"/>
    <mergeCell ref="I31:P31"/>
    <mergeCell ref="I28:P28"/>
    <mergeCell ref="I30:P30"/>
    <mergeCell ref="C33:P35"/>
    <mergeCell ref="C36:P36"/>
    <mergeCell ref="J15:P15"/>
    <mergeCell ref="I19:P19"/>
    <mergeCell ref="I20:P20"/>
    <mergeCell ref="I21:P21"/>
    <mergeCell ref="G28:H28"/>
    <mergeCell ref="G25:H25"/>
    <mergeCell ref="G27:H27"/>
    <mergeCell ref="I22:P22"/>
    <mergeCell ref="I23:P23"/>
    <mergeCell ref="I24:P24"/>
    <mergeCell ref="I25:P25"/>
    <mergeCell ref="I27:P27"/>
    <mergeCell ref="A16:C17"/>
    <mergeCell ref="D16:G17"/>
    <mergeCell ref="H16:I17"/>
    <mergeCell ref="B19:F19"/>
    <mergeCell ref="G19:H19"/>
    <mergeCell ref="J9:P9"/>
    <mergeCell ref="A10:C10"/>
    <mergeCell ref="A11:C14"/>
    <mergeCell ref="D14:H14"/>
    <mergeCell ref="D12:H12"/>
    <mergeCell ref="D13:H13"/>
    <mergeCell ref="J14:P14"/>
    <mergeCell ref="J10:P13"/>
    <mergeCell ref="A4:H4"/>
    <mergeCell ref="D5:H5"/>
    <mergeCell ref="D10:H10"/>
    <mergeCell ref="D11:H11"/>
    <mergeCell ref="A9:C9"/>
    <mergeCell ref="D9:H9"/>
    <mergeCell ref="A7:H7"/>
    <mergeCell ref="A5:C5"/>
    <mergeCell ref="A1:H2"/>
    <mergeCell ref="J1:K1"/>
    <mergeCell ref="L1:O1"/>
    <mergeCell ref="J2:K2"/>
    <mergeCell ref="L2:O2"/>
  </mergeCells>
  <phoneticPr fontId="18"/>
  <dataValidations count="2">
    <dataValidation type="list" allowBlank="1" showErrorMessage="1" sqref="H20" xr:uid="{00000000-0002-0000-0000-000000000000}">
      <formula1>"個,泊,名,日,ヶ月"</formula1>
    </dataValidation>
    <dataValidation type="list" allowBlank="1" showErrorMessage="1" sqref="H21:H23" xr:uid="{00000000-0002-0000-0000-000001000000}">
      <formula1>$R$9:$R$13</formula1>
    </dataValidation>
  </dataValidations>
  <printOptions horizontalCentered="1"/>
  <pageMargins left="0.45061014292644708" right="0" top="0.74803149606299213" bottom="0.2155091987909094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 人事総務</cp:lastModifiedBy>
  <dcterms:modified xsi:type="dcterms:W3CDTF">2025-08-25T05:47:18Z</dcterms:modified>
</cp:coreProperties>
</file>