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ml.chartshape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ml.chartshape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akamura.yos_redhors\Desktop\"/>
    </mc:Choice>
  </mc:AlternateContent>
  <xr:revisionPtr revIDLastSave="0" documentId="8_{425D826B-7E67-4CC8-BB33-85A98290820E}" xr6:coauthVersionLast="47" xr6:coauthVersionMax="47" xr10:uidLastSave="{00000000-0000-0000-0000-000000000000}"/>
  <bookViews>
    <workbookView xWindow="-37965" yWindow="-2640" windowWidth="30210" windowHeight="18930" tabRatio="500" xr2:uid="{00000000-000D-0000-FFFF-FFFF00000000}"/>
  </bookViews>
  <sheets>
    <sheet name="レポート" sheetId="1" r:id="rId1"/>
    <sheet name="合計データ" sheetId="2" r:id="rId2"/>
    <sheet name="合計データ2" sheetId="3" r:id="rId3"/>
    <sheet name="合計データ3" sheetId="4" r:id="rId4"/>
  </sheets>
  <definedNames>
    <definedName name="_xlnm.Print_Area" localSheetId="1">合計データ!$A$1:$N$41</definedName>
    <definedName name="_xlnm.Print_Area" localSheetId="2">合計データ2!$A$1:$N$33</definedName>
    <definedName name="_xlnm.Print_Area" localSheetId="3">合計データ3!$A$1:$N$33</definedName>
    <definedName name="_xlnm.Print_Titles" localSheetId="0">レポート!$1:$1</definedName>
    <definedName name="稼働率" localSheetId="2">OFFSET(合計データ2!#REF!, 0, 0, COUNTA(合計データ2!$I$3:$I$991), 1)</definedName>
    <definedName name="稼働率" localSheetId="3">OFFSET(合計データ3!#REF!, 0, 0, COUNTA(合計データ3!$I$3:$I$992), 1)</definedName>
    <definedName name="稼働率">OFFSET(合計データ!$K$11, 0, 0, COUNTA(合計データ!$H$11:$H$1000), 1)</definedName>
    <definedName name="稼働率差異" localSheetId="2">OFFSET(合計データ2!#REF!, 0, 0, COUNTA(合計データ2!$I$3:$I$991), 1)</definedName>
    <definedName name="稼働率差異" localSheetId="3">OFFSET(合計データ3!#REF!, 0, 0, COUNTA(合計データ3!$I$3:$I$992), 1)</definedName>
    <definedName name="稼働率差異">OFFSET(合計データ!$L$11, 0, 0, COUNTA(合計データ!$H$11:$H$1000), 1)</definedName>
    <definedName name="稼働率施設名" localSheetId="2">OFFSET(合計データ2!#REF!, 0, 0, COUNTA(合計データ2!$I$3:$I$991), 1)</definedName>
    <definedName name="稼働率施設名" localSheetId="3">OFFSET(合計データ3!#REF!, 0, 0, COUNTA(合計データ3!$I$3:$I$992), 1)</definedName>
    <definedName name="稼働率施設名">OFFSET(合計データ!$H$11, 0, 0, COUNTA(合計データ!$H$11:$H$1000), 1)</definedName>
    <definedName name="計画稼働率" localSheetId="2">OFFSET(合計データ2!#REF!, 0, 0, COUNTA(合計データ2!$I$3:$I$991), 1)</definedName>
    <definedName name="計画稼働率" localSheetId="3">OFFSET(合計データ3!#REF!, 0, 0, COUNTA(合計データ3!$I$3:$I$992), 1)</definedName>
    <definedName name="計画稼働率">OFFSET(合計データ!$J$11, 0, 0, COUNTA(合計データ!$H$11:$H$1000), 1)</definedName>
    <definedName name="計画売上" localSheetId="2">OFFSET(合計データ2!#REF!, 0, 0, COUNTA(合計データ2!$A$3:$A$991), 1)</definedName>
    <definedName name="計画売上" localSheetId="3">OFFSET(合計データ3!#REF!, 0, 0, COUNTA(合計データ3!$A$3:$A$992), 1)</definedName>
    <definedName name="計画売上">OFFSET(合計データ!$O$11, 0, 0, COUNTA(合計データ!$A$11:$A$1000), 1)</definedName>
    <definedName name="売上" localSheetId="2">OFFSET(合計データ2!#REF!, 0, 0, COUNTA(合計データ2!$A$3:$A$991), 1)</definedName>
    <definedName name="売上" localSheetId="3">OFFSET(合計データ3!#REF!, 0, 0, COUNTA(合計データ3!$A$3:$A$992), 1)</definedName>
    <definedName name="売上">OFFSET(合計データ!$P$11, 0, 0, COUNTA(合計データ!$A$11:$A$1000), 1)</definedName>
    <definedName name="売上差異" localSheetId="2">OFFSET(合計データ2!#REF!, 0, 0, COUNTA(合計データ2!$A$3:$A$991), 1)</definedName>
    <definedName name="売上差異" localSheetId="3">OFFSET(合計データ3!#REF!, 0, 0, COUNTA(合計データ3!$A$3:$A$992), 1)</definedName>
    <definedName name="売上差異">OFFSET(合計データ!$Q$11, 0, 0, COUNTA(合計データ!$A$11:$A$1000), 1)</definedName>
    <definedName name="売上施設名" localSheetId="2">OFFSET(合計データ2!#REF!, 0, 0, COUNTA(合計データ2!$A$3:$A$991), 1)</definedName>
    <definedName name="売上施設名" localSheetId="3">OFFSET(合計データ3!#REF!, 0, 0, COUNTA(合計データ3!$A$3:$A$992), 1)</definedName>
    <definedName name="売上施設名">OFFSET(合計データ!$A$11, 0, 0, COUNTA(合計データ!$A$11:$A$1000),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2" i="4" l="1"/>
  <c r="P32" i="4"/>
  <c r="O32" i="4"/>
  <c r="Q31" i="4"/>
  <c r="P31" i="4"/>
  <c r="O31" i="4"/>
  <c r="Q30" i="4"/>
  <c r="P30" i="4"/>
  <c r="O30" i="4"/>
  <c r="Q29" i="4"/>
  <c r="P29" i="4"/>
  <c r="O29" i="4"/>
  <c r="Q28" i="4"/>
  <c r="P28" i="4"/>
  <c r="O28" i="4"/>
  <c r="Q27" i="4"/>
  <c r="P27" i="4"/>
  <c r="O27" i="4"/>
  <c r="Q26" i="4"/>
  <c r="P26" i="4"/>
  <c r="O26" i="4"/>
  <c r="Q25" i="4"/>
  <c r="P25" i="4"/>
  <c r="O25" i="4"/>
  <c r="Q24" i="4"/>
  <c r="P24" i="4"/>
  <c r="O24" i="4"/>
  <c r="Q23" i="4"/>
  <c r="P23" i="4"/>
  <c r="O23" i="4"/>
  <c r="Q22" i="4"/>
  <c r="P22" i="4"/>
  <c r="O22" i="4"/>
  <c r="Q21" i="4"/>
  <c r="P21" i="4"/>
  <c r="O21" i="4"/>
  <c r="Q20" i="4"/>
  <c r="P20" i="4"/>
  <c r="O20" i="4"/>
  <c r="Q19" i="4"/>
  <c r="P19" i="4"/>
  <c r="O19" i="4"/>
  <c r="Q18" i="4"/>
  <c r="P18" i="4"/>
  <c r="O18" i="4"/>
  <c r="Q17" i="4"/>
  <c r="P17" i="4"/>
  <c r="O17" i="4"/>
  <c r="Q16" i="4"/>
  <c r="P16" i="4"/>
  <c r="O16" i="4"/>
  <c r="Q15" i="4"/>
  <c r="P15" i="4"/>
  <c r="O15" i="4"/>
  <c r="Q14" i="4"/>
  <c r="P14" i="4"/>
  <c r="O14" i="4"/>
  <c r="Q13" i="4"/>
  <c r="P13" i="4"/>
  <c r="O13" i="4"/>
  <c r="Q12" i="4"/>
  <c r="P12" i="4"/>
  <c r="O12" i="4"/>
  <c r="Q11" i="4"/>
  <c r="P11" i="4"/>
  <c r="O11" i="4"/>
  <c r="Q10" i="4"/>
  <c r="P10" i="4"/>
  <c r="O10" i="4"/>
  <c r="Q9" i="4"/>
  <c r="P9" i="4"/>
  <c r="O9" i="4"/>
  <c r="Q8" i="4"/>
  <c r="P8" i="4"/>
  <c r="O8" i="4"/>
  <c r="Q7" i="4"/>
  <c r="P7" i="4"/>
  <c r="O7" i="4"/>
  <c r="Q6" i="4"/>
  <c r="P6" i="4"/>
  <c r="O6" i="4"/>
  <c r="Q5" i="4"/>
  <c r="P5" i="4"/>
  <c r="O5" i="4"/>
  <c r="Q4" i="4"/>
  <c r="P4" i="4"/>
  <c r="O4" i="4"/>
  <c r="Q3" i="4"/>
  <c r="P3" i="4"/>
  <c r="O3" i="4"/>
  <c r="O6" i="3"/>
  <c r="P6" i="3"/>
  <c r="Q6" i="3"/>
  <c r="O7" i="3"/>
  <c r="P7" i="3"/>
  <c r="Q7" i="3"/>
  <c r="O8" i="3"/>
  <c r="P8" i="3"/>
  <c r="Q8" i="3"/>
  <c r="O9" i="3"/>
  <c r="P9" i="3"/>
  <c r="Q9" i="3"/>
  <c r="O10" i="3"/>
  <c r="P10" i="3"/>
  <c r="Q10" i="3"/>
  <c r="O11" i="3"/>
  <c r="P11" i="3"/>
  <c r="Q11" i="3"/>
  <c r="O12" i="3"/>
  <c r="P12" i="3"/>
  <c r="Q12" i="3"/>
  <c r="O13" i="3"/>
  <c r="P13" i="3"/>
  <c r="Q13" i="3"/>
  <c r="O14" i="3"/>
  <c r="P14" i="3"/>
  <c r="Q14" i="3"/>
  <c r="O15" i="3"/>
  <c r="P15" i="3"/>
  <c r="Q15" i="3"/>
  <c r="O16" i="3"/>
  <c r="P16" i="3"/>
  <c r="Q16" i="3"/>
  <c r="O17" i="3"/>
  <c r="P17" i="3"/>
  <c r="Q17" i="3"/>
  <c r="O18" i="3"/>
  <c r="P18" i="3"/>
  <c r="Q18" i="3"/>
  <c r="O19" i="3"/>
  <c r="P19" i="3"/>
  <c r="Q19" i="3"/>
  <c r="O20" i="3"/>
  <c r="P20" i="3"/>
  <c r="Q20" i="3"/>
  <c r="O21" i="3"/>
  <c r="P21" i="3"/>
  <c r="Q21" i="3"/>
  <c r="O22" i="3"/>
  <c r="P22" i="3"/>
  <c r="Q22" i="3"/>
  <c r="O23" i="3"/>
  <c r="P23" i="3"/>
  <c r="Q23" i="3"/>
  <c r="O24" i="3"/>
  <c r="P24" i="3"/>
  <c r="Q24" i="3"/>
  <c r="O25" i="3"/>
  <c r="P25" i="3"/>
  <c r="Q25" i="3"/>
  <c r="O26" i="3"/>
  <c r="P26" i="3"/>
  <c r="Q26" i="3"/>
  <c r="O27" i="3"/>
  <c r="P27" i="3"/>
  <c r="Q27" i="3"/>
  <c r="O28" i="3"/>
  <c r="P28" i="3"/>
  <c r="Q28" i="3"/>
  <c r="O29" i="3"/>
  <c r="P29" i="3"/>
  <c r="Q29" i="3"/>
  <c r="O30" i="3"/>
  <c r="P30" i="3"/>
  <c r="Q30" i="3"/>
  <c r="O31" i="3"/>
  <c r="P31" i="3"/>
  <c r="Q31" i="3"/>
  <c r="O32" i="3"/>
  <c r="P32" i="3"/>
  <c r="Q32" i="3"/>
  <c r="O5" i="3"/>
  <c r="P5" i="3"/>
  <c r="Q5" i="3"/>
  <c r="O4" i="3"/>
  <c r="P4" i="3"/>
  <c r="Q4" i="3"/>
  <c r="Q3" i="3"/>
  <c r="P3" i="3"/>
  <c r="O3" i="3"/>
  <c r="O12" i="2"/>
  <c r="P12" i="2"/>
  <c r="Q12" i="2"/>
  <c r="O13" i="2"/>
  <c r="P13" i="2"/>
  <c r="Q13" i="2"/>
  <c r="O14" i="2"/>
  <c r="P14" i="2"/>
  <c r="Q14" i="2"/>
  <c r="O15" i="2"/>
  <c r="P15" i="2"/>
  <c r="Q15" i="2"/>
  <c r="O16" i="2"/>
  <c r="P16" i="2"/>
  <c r="Q16" i="2"/>
  <c r="O17" i="2"/>
  <c r="P17" i="2"/>
  <c r="Q17" i="2"/>
  <c r="O18" i="2"/>
  <c r="P18" i="2"/>
  <c r="Q18" i="2"/>
  <c r="O19" i="2"/>
  <c r="P19" i="2"/>
  <c r="Q19" i="2"/>
  <c r="O20" i="2"/>
  <c r="P20" i="2"/>
  <c r="Q20" i="2"/>
  <c r="O21" i="2"/>
  <c r="P21" i="2"/>
  <c r="Q21" i="2"/>
  <c r="O22" i="2"/>
  <c r="P22" i="2"/>
  <c r="Q22" i="2"/>
  <c r="O23" i="2"/>
  <c r="P23" i="2"/>
  <c r="Q23" i="2"/>
  <c r="O24" i="2"/>
  <c r="P24" i="2"/>
  <c r="Q24" i="2"/>
  <c r="O25" i="2"/>
  <c r="P25" i="2"/>
  <c r="Q25" i="2"/>
  <c r="O26" i="2"/>
  <c r="P26" i="2"/>
  <c r="Q26" i="2"/>
  <c r="O27" i="2"/>
  <c r="P27" i="2"/>
  <c r="Q27" i="2"/>
  <c r="O28" i="2"/>
  <c r="P28" i="2"/>
  <c r="Q28" i="2"/>
  <c r="O29" i="2"/>
  <c r="P29" i="2"/>
  <c r="Q29" i="2"/>
  <c r="O30" i="2"/>
  <c r="P30" i="2"/>
  <c r="Q30" i="2"/>
  <c r="O31" i="2"/>
  <c r="P31" i="2"/>
  <c r="Q31" i="2"/>
  <c r="O32" i="2"/>
  <c r="P32" i="2"/>
  <c r="Q32" i="2"/>
  <c r="O33" i="2"/>
  <c r="P33" i="2"/>
  <c r="Q33" i="2"/>
  <c r="O34" i="2"/>
  <c r="P34" i="2"/>
  <c r="Q34" i="2"/>
  <c r="O35" i="2"/>
  <c r="P35" i="2"/>
  <c r="Q35" i="2"/>
  <c r="O36" i="2"/>
  <c r="P36" i="2"/>
  <c r="Q36" i="2"/>
  <c r="O37" i="2"/>
  <c r="P37" i="2"/>
  <c r="Q37" i="2"/>
  <c r="O38" i="2"/>
  <c r="P38" i="2"/>
  <c r="Q38" i="2"/>
  <c r="O39" i="2"/>
  <c r="P39" i="2"/>
  <c r="Q39" i="2"/>
  <c r="O40" i="2"/>
  <c r="P40" i="2"/>
  <c r="Q40" i="2"/>
  <c r="Q11" i="2"/>
  <c r="P11" i="2"/>
  <c r="O11" i="2"/>
  <c r="R31" i="4"/>
  <c r="R32" i="4"/>
  <c r="R39" i="2"/>
  <c r="R40" i="2"/>
  <c r="R31" i="3"/>
  <c r="R32" i="3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5" i="3"/>
  <c r="R4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" i="3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A104" i="1"/>
  <c r="A9" i="2"/>
  <c r="C56" i="1" l="1"/>
  <c r="H9" i="2"/>
  <c r="C108" i="1" s="1"/>
  <c r="A365" i="1"/>
  <c r="A260" i="1"/>
  <c r="H1" i="4"/>
  <c r="C316" i="1" s="1"/>
  <c r="A1" i="4"/>
  <c r="C264" i="1" s="1"/>
  <c r="H1" i="3"/>
  <c r="C212" i="1" s="1"/>
  <c r="A1" i="3"/>
  <c r="C160" i="1" s="1"/>
  <c r="A312" i="1"/>
  <c r="A208" i="1"/>
  <c r="Q2" i="2"/>
  <c r="Q3" i="2"/>
  <c r="Q4" i="2"/>
  <c r="Q5" i="2"/>
  <c r="Q6" i="2"/>
  <c r="Q7" i="2"/>
  <c r="H49" i="1"/>
  <c r="G49" i="1"/>
  <c r="F49" i="1"/>
  <c r="E49" i="1"/>
  <c r="D49" i="1"/>
  <c r="C49" i="1"/>
  <c r="H47" i="1"/>
  <c r="G47" i="1"/>
  <c r="F47" i="1"/>
  <c r="E47" i="1"/>
  <c r="D47" i="1"/>
  <c r="C47" i="1"/>
  <c r="X5" i="2"/>
  <c r="D50" i="1" s="1"/>
  <c r="Y5" i="2"/>
  <c r="E50" i="1" s="1"/>
  <c r="Z5" i="2"/>
  <c r="F50" i="1" s="1"/>
  <c r="AA5" i="2"/>
  <c r="G50" i="1" s="1"/>
  <c r="AB5" i="2"/>
  <c r="H50" i="1" s="1"/>
  <c r="W5" i="2"/>
  <c r="C50" i="1" s="1"/>
  <c r="X3" i="2"/>
  <c r="D48" i="1" s="1"/>
  <c r="Y3" i="2"/>
  <c r="E48" i="1" s="1"/>
  <c r="Z3" i="2"/>
  <c r="F48" i="1" s="1"/>
  <c r="AA3" i="2"/>
  <c r="G48" i="1" s="1"/>
  <c r="AB3" i="2"/>
  <c r="H48" i="1" s="1"/>
  <c r="W3" i="2"/>
  <c r="C48" i="1" s="1"/>
  <c r="A156" i="1"/>
  <c r="T7" i="2"/>
  <c r="S7" i="2"/>
  <c r="R7" i="2"/>
  <c r="P7" i="2"/>
  <c r="O7" i="2"/>
  <c r="T6" i="2"/>
  <c r="S6" i="2"/>
  <c r="R6" i="2"/>
  <c r="P6" i="2"/>
  <c r="O6" i="2"/>
  <c r="T5" i="2"/>
  <c r="S5" i="2"/>
  <c r="R5" i="2"/>
  <c r="P5" i="2"/>
  <c r="O5" i="2"/>
  <c r="T4" i="2"/>
  <c r="S4" i="2"/>
  <c r="R4" i="2"/>
  <c r="P4" i="2"/>
  <c r="O4" i="2"/>
  <c r="T3" i="2"/>
  <c r="S3" i="2"/>
  <c r="R3" i="2"/>
  <c r="P3" i="2"/>
  <c r="O3" i="2"/>
  <c r="T2" i="2"/>
  <c r="S2" i="2"/>
  <c r="R2" i="2"/>
  <c r="P2" i="2"/>
  <c r="O2" i="2"/>
  <c r="A1" i="1"/>
</calcChain>
</file>

<file path=xl/sharedStrings.xml><?xml version="1.0" encoding="utf-8"?>
<sst xmlns="http://schemas.openxmlformats.org/spreadsheetml/2006/main" count="94" uniqueCount="40">
  <si>
    <t>月度</t>
  </si>
  <si>
    <t>計画売上</t>
  </si>
  <si>
    <t>計画稼働率</t>
  </si>
  <si>
    <t>前日集計日</t>
  </si>
  <si>
    <t>計画売上（百万円)</t>
    <rPh sb="5" eb="8">
      <t>ヒャクマンエン</t>
    </rPh>
    <phoneticPr fontId="2"/>
  </si>
  <si>
    <t>売上　達成率</t>
    <rPh sb="0" eb="2">
      <t>ウリアゲ</t>
    </rPh>
    <rPh sb="3" eb="6">
      <t>タッセイリツ</t>
    </rPh>
    <phoneticPr fontId="2"/>
  </si>
  <si>
    <t>稼働率　前日対比</t>
    <rPh sb="0" eb="3">
      <t>カドウリツ</t>
    </rPh>
    <rPh sb="4" eb="8">
      <t>ゼンジツタイヒ</t>
    </rPh>
    <phoneticPr fontId="2"/>
  </si>
  <si>
    <t>稼働率　達成率</t>
    <rPh sb="0" eb="3">
      <t>カドウリツ</t>
    </rPh>
    <rPh sb="4" eb="7">
      <t>タッセイリツ</t>
    </rPh>
    <phoneticPr fontId="2"/>
  </si>
  <si>
    <t>売上差異</t>
    <phoneticPr fontId="2"/>
  </si>
  <si>
    <t>計画売上（万円)</t>
    <rPh sb="5" eb="6">
      <t>マン</t>
    </rPh>
    <rPh sb="6" eb="7">
      <t>エン</t>
    </rPh>
    <phoneticPr fontId="2"/>
  </si>
  <si>
    <t>ADR</t>
    <phoneticPr fontId="2"/>
  </si>
  <si>
    <t>RevPAR</t>
    <phoneticPr fontId="2"/>
  </si>
  <si>
    <t>施設名</t>
  </si>
  <si>
    <t>売上差異</t>
  </si>
  <si>
    <t>稼働率差異</t>
  </si>
  <si>
    <t>確定泊数</t>
    <phoneticPr fontId="2"/>
  </si>
  <si>
    <t>前日稼働率</t>
    <phoneticPr fontId="2"/>
  </si>
  <si>
    <t>2026-01</t>
  </si>
  <si>
    <t>2026-02</t>
  </si>
  <si>
    <t>2026-03</t>
  </si>
  <si>
    <t>2026-04</t>
  </si>
  <si>
    <t>2026-05</t>
  </si>
  <si>
    <t>2026-06</t>
  </si>
  <si>
    <t>計画対比</t>
    <rPh sb="0" eb="2">
      <t>ケイカク</t>
    </rPh>
    <rPh sb="2" eb="4">
      <t>タイヒ</t>
    </rPh>
    <phoneticPr fontId="2"/>
  </si>
  <si>
    <t>ADR計画</t>
    <rPh sb="3" eb="5">
      <t>ケイカク</t>
    </rPh>
    <phoneticPr fontId="2"/>
  </si>
  <si>
    <t>RevPAR計画</t>
    <rPh sb="6" eb="8">
      <t>ケイカク</t>
    </rPh>
    <phoneticPr fontId="2"/>
  </si>
  <si>
    <t>前日実績売上</t>
    <phoneticPr fontId="2"/>
  </si>
  <si>
    <t>前日確定泊数</t>
    <phoneticPr fontId="2"/>
  </si>
  <si>
    <t>計画総室数</t>
    <phoneticPr fontId="2"/>
  </si>
  <si>
    <t>月度</t>
    <rPh sb="0" eb="2">
      <t>ゲツド</t>
    </rPh>
    <phoneticPr fontId="2"/>
  </si>
  <si>
    <t>見込み稼働率</t>
    <rPh sb="0" eb="2">
      <t>ミコ</t>
    </rPh>
    <phoneticPr fontId="2"/>
  </si>
  <si>
    <t>見込み売上</t>
    <rPh sb="0" eb="2">
      <t>ミコ</t>
    </rPh>
    <phoneticPr fontId="2"/>
  </si>
  <si>
    <t>見込み売上（万円)</t>
    <rPh sb="0" eb="2">
      <t>ミコ</t>
    </rPh>
    <rPh sb="6" eb="7">
      <t>マン</t>
    </rPh>
    <rPh sb="7" eb="8">
      <t>エン</t>
    </rPh>
    <phoneticPr fontId="2"/>
  </si>
  <si>
    <t>見込み売上（百万円)</t>
    <rPh sb="0" eb="2">
      <t>ミコ</t>
    </rPh>
    <rPh sb="6" eb="9">
      <t>ヒャクマンエン</t>
    </rPh>
    <phoneticPr fontId="2"/>
  </si>
  <si>
    <t>見込売上+仮（万円)</t>
    <rPh sb="0" eb="2">
      <t>ミコ</t>
    </rPh>
    <rPh sb="2" eb="4">
      <t>ウリアゲ</t>
    </rPh>
    <rPh sb="5" eb="6">
      <t>カリ</t>
    </rPh>
    <phoneticPr fontId="2"/>
  </si>
  <si>
    <r>
      <t xml:space="preserve">※ </t>
    </r>
    <r>
      <rPr>
        <b/>
        <sz val="10"/>
        <color rgb="FFFF0000"/>
        <rFont val="Noto Sans JP"/>
        <family val="3"/>
        <charset val="128"/>
      </rPr>
      <t>仮</t>
    </r>
    <r>
      <rPr>
        <sz val="10"/>
        <color rgb="FF000000"/>
        <rFont val="Noto Sans JP"/>
        <family val="3"/>
        <charset val="128"/>
      </rPr>
      <t>：仮予約含む</t>
    </r>
    <rPh sb="2" eb="3">
      <t>カリ</t>
    </rPh>
    <rPh sb="4" eb="7">
      <t>カリヨヤク</t>
    </rPh>
    <rPh sb="7" eb="8">
      <t>フク</t>
    </rPh>
    <phoneticPr fontId="2"/>
  </si>
  <si>
    <r>
      <t>見込み売上（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rFont val="Noto Sans JP"/>
        <family val="3"/>
        <charset val="128"/>
      </rPr>
      <t>)（百万）</t>
    </r>
    <rPh sb="0" eb="2">
      <t>ミコ</t>
    </rPh>
    <rPh sb="3" eb="5">
      <t>ウリアゲ</t>
    </rPh>
    <rPh sb="6" eb="7">
      <t>カリ</t>
    </rPh>
    <rPh sb="9" eb="11">
      <t>ヒャクマン</t>
    </rPh>
    <phoneticPr fontId="2"/>
  </si>
  <si>
    <r>
      <t>見込み売上（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rFont val="Noto Sans JP"/>
        <family val="3"/>
        <charset val="128"/>
      </rPr>
      <t>）</t>
    </r>
    <rPh sb="0" eb="2">
      <t>ミコ</t>
    </rPh>
    <phoneticPr fontId="2"/>
  </si>
  <si>
    <r>
      <t>見込み稼働率（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rFont val="Noto Sans JP"/>
        <family val="3"/>
        <charset val="128"/>
      </rPr>
      <t>）</t>
    </r>
    <rPh sb="0" eb="2">
      <t>ミコ</t>
    </rPh>
    <rPh sb="3" eb="6">
      <t>カドウリツ</t>
    </rPh>
    <phoneticPr fontId="2"/>
  </si>
  <si>
    <r>
      <t>確定泊数（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rFont val="Noto Sans JP"/>
        <family val="3"/>
        <charset val="128"/>
      </rPr>
      <t>）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</si>
</sst>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 * #,##0_ ;_ * \-#,##0_ ;_ * &quot;-&quot;_ ;_ @_ "/>
    <numFmt numFmtId="176" formatCode="0.0%"/>
    <numFmt numFmtId="177" formatCode="yyyy/mm/dd"/>
    <numFmt numFmtId="178" formatCode="0.0%;\-0.0%;&quot;-&quot;"/>
  </numFmts>
  <fonts count="22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9"/>
      <color rgb="FF000000"/>
      <name val="Noto Sans JP"/>
      <family val="3"/>
      <charset val="128"/>
    </font>
    <font>
      <sz val="9"/>
      <name val="Arial"/>
      <family val="2"/>
    </font>
    <font>
      <sz val="11"/>
      <color rgb="FF000000"/>
      <name val="Noto Sans JP"/>
      <family val="3"/>
      <charset val="128"/>
    </font>
    <font>
      <sz val="11"/>
      <name val="Arial"/>
      <family val="2"/>
    </font>
    <font>
      <sz val="16"/>
      <color rgb="FF000000"/>
      <name val="Noto Sans JP"/>
      <family val="3"/>
      <charset val="128"/>
    </font>
    <font>
      <sz val="16"/>
      <color rgb="FF000000"/>
      <name val="Arial"/>
      <family val="2"/>
      <scheme val="minor"/>
    </font>
    <font>
      <sz val="16"/>
      <name val="Noto Sans JP"/>
      <family val="3"/>
      <charset val="128"/>
    </font>
    <font>
      <sz val="16"/>
      <color theme="1" tint="0.499984740745262"/>
      <name val="Noto Sans JP"/>
      <family val="2"/>
      <charset val="128"/>
    </font>
    <font>
      <sz val="10"/>
      <color theme="1" tint="0.499984740745262"/>
      <name val="Noto Sans JP"/>
      <family val="2"/>
      <charset val="128"/>
    </font>
    <font>
      <sz val="10"/>
      <color theme="1"/>
      <name val="Noto Sans JP"/>
      <family val="2"/>
      <charset val="128"/>
    </font>
    <font>
      <b/>
      <sz val="10"/>
      <color theme="1"/>
      <name val="Noto Sans JP"/>
      <family val="2"/>
      <charset val="128"/>
    </font>
    <font>
      <sz val="10"/>
      <color theme="1"/>
      <name val="Noto Sans JP"/>
      <family val="3"/>
      <charset val="128"/>
    </font>
    <font>
      <b/>
      <sz val="10"/>
      <color theme="0"/>
      <name val="Noto Sans JP"/>
      <family val="2"/>
      <charset val="128"/>
    </font>
    <font>
      <b/>
      <sz val="10"/>
      <color rgb="FFFF0000"/>
      <name val="Noto Sans JP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theme="0" tint="-0.14999847407452621"/>
      </patternFill>
    </fill>
  </fills>
  <borders count="1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dotted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indexed="64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theme="1"/>
      </top>
      <bottom style="thin">
        <color indexed="64"/>
      </bottom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1" fontId="1" fillId="0" borderId="0" applyBorder="0" applyAlignment="0" applyProtection="0"/>
    <xf numFmtId="9" fontId="7" fillId="0" borderId="0" applyFont="0" applyFill="0" applyBorder="0" applyAlignment="0" applyProtection="0">
      <alignment vertical="center"/>
    </xf>
    <xf numFmtId="41" fontId="1" fillId="0" borderId="0" applyBorder="0" applyAlignment="0" applyProtection="0"/>
  </cellStyleXfs>
  <cellXfs count="96">
    <xf numFmtId="0" fontId="0" fillId="0" borderId="0" xfId="0"/>
    <xf numFmtId="0" fontId="3" fillId="0" borderId="0" xfId="0" applyFont="1"/>
    <xf numFmtId="41" fontId="4" fillId="0" borderId="0" xfId="1" applyFont="1"/>
    <xf numFmtId="9" fontId="3" fillId="2" borderId="1" xfId="2" applyFont="1" applyFill="1" applyBorder="1" applyAlignment="1"/>
    <xf numFmtId="176" fontId="1" fillId="2" borderId="1" xfId="1" applyNumberFormat="1" applyFill="1" applyBorder="1"/>
    <xf numFmtId="41" fontId="6" fillId="0" borderId="1" xfId="1" applyFont="1" applyBorder="1"/>
    <xf numFmtId="41" fontId="1" fillId="3" borderId="1" xfId="1" applyFill="1" applyBorder="1" applyAlignment="1"/>
    <xf numFmtId="3" fontId="4" fillId="0" borderId="0" xfId="3" applyNumberFormat="1" applyFont="1" applyBorder="1"/>
    <xf numFmtId="3" fontId="4" fillId="0" borderId="0" xfId="0" applyNumberFormat="1" applyFont="1"/>
    <xf numFmtId="3" fontId="3" fillId="0" borderId="0" xfId="0" applyNumberFormat="1" applyFont="1"/>
    <xf numFmtId="3" fontId="4" fillId="3" borderId="1" xfId="3" applyNumberFormat="1" applyFont="1" applyFill="1" applyBorder="1" applyAlignment="1"/>
    <xf numFmtId="0" fontId="5" fillId="0" borderId="3" xfId="0" applyFont="1" applyBorder="1"/>
    <xf numFmtId="0" fontId="5" fillId="0" borderId="3" xfId="0" applyFont="1" applyBorder="1" applyAlignment="1">
      <alignment horizontal="right"/>
    </xf>
    <xf numFmtId="0" fontId="8" fillId="0" borderId="2" xfId="0" applyFont="1" applyBorder="1"/>
    <xf numFmtId="41" fontId="9" fillId="0" borderId="2" xfId="1" applyFont="1" applyBorder="1"/>
    <xf numFmtId="0" fontId="8" fillId="0" borderId="0" xfId="0" applyFont="1"/>
    <xf numFmtId="0" fontId="10" fillId="3" borderId="0" xfId="0" applyFont="1" applyFill="1"/>
    <xf numFmtId="41" fontId="11" fillId="3" borderId="0" xfId="1" applyFont="1" applyFill="1" applyBorder="1"/>
    <xf numFmtId="41" fontId="9" fillId="0" borderId="0" xfId="1" applyFont="1" applyBorder="1"/>
    <xf numFmtId="3" fontId="11" fillId="3" borderId="0" xfId="1" applyNumberFormat="1" applyFont="1" applyFill="1" applyBorder="1"/>
    <xf numFmtId="0" fontId="3" fillId="0" borderId="2" xfId="0" applyFont="1" applyBorder="1"/>
    <xf numFmtId="41" fontId="1" fillId="0" borderId="2" xfId="1" applyBorder="1"/>
    <xf numFmtId="0" fontId="0" fillId="0" borderId="0" xfId="0" applyAlignment="1">
      <alignment horizontal="center"/>
    </xf>
    <xf numFmtId="0" fontId="18" fillId="0" borderId="5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20" fillId="4" borderId="5" xfId="0" applyFont="1" applyFill="1" applyBorder="1" applyAlignment="1">
      <alignment horizontal="center" vertical="center"/>
    </xf>
    <xf numFmtId="0" fontId="20" fillId="4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6" borderId="8" xfId="0" applyFont="1" applyFill="1" applyBorder="1" applyAlignment="1">
      <alignment horizontal="center" vertical="center"/>
    </xf>
    <xf numFmtId="0" fontId="19" fillId="0" borderId="8" xfId="0" applyFont="1" applyBorder="1"/>
    <xf numFmtId="177" fontId="4" fillId="0" borderId="8" xfId="0" applyNumberFormat="1" applyFont="1" applyBorder="1"/>
    <xf numFmtId="0" fontId="19" fillId="0" borderId="6" xfId="0" applyFont="1" applyBorder="1"/>
    <xf numFmtId="176" fontId="4" fillId="0" borderId="8" xfId="3" applyNumberFormat="1" applyFont="1" applyBorder="1"/>
    <xf numFmtId="176" fontId="4" fillId="0" borderId="7" xfId="3" applyNumberFormat="1" applyFont="1" applyBorder="1"/>
    <xf numFmtId="0" fontId="18" fillId="6" borderId="6" xfId="0" applyFont="1" applyFill="1" applyBorder="1" applyAlignment="1">
      <alignment horizontal="center" vertical="center"/>
    </xf>
    <xf numFmtId="0" fontId="20" fillId="7" borderId="9" xfId="0" applyFont="1" applyFill="1" applyBorder="1" applyAlignment="1">
      <alignment horizontal="center" vertical="center"/>
    </xf>
    <xf numFmtId="0" fontId="20" fillId="7" borderId="11" xfId="0" applyFont="1" applyFill="1" applyBorder="1" applyAlignment="1">
      <alignment horizontal="center" vertical="center"/>
    </xf>
    <xf numFmtId="176" fontId="19" fillId="0" borderId="12" xfId="0" applyNumberFormat="1" applyFont="1" applyBorder="1"/>
    <xf numFmtId="3" fontId="4" fillId="0" borderId="10" xfId="3" applyNumberFormat="1" applyFont="1" applyBorder="1"/>
    <xf numFmtId="3" fontId="4" fillId="0" borderId="8" xfId="0" applyNumberFormat="1" applyFont="1" applyBorder="1"/>
    <xf numFmtId="3" fontId="4" fillId="0" borderId="7" xfId="0" applyNumberFormat="1" applyFont="1" applyBorder="1"/>
    <xf numFmtId="3" fontId="4" fillId="0" borderId="5" xfId="0" applyNumberFormat="1" applyFont="1" applyBorder="1"/>
    <xf numFmtId="0" fontId="3" fillId="0" borderId="5" xfId="0" applyFont="1" applyBorder="1"/>
    <xf numFmtId="176" fontId="4" fillId="0" borderId="5" xfId="3" applyNumberFormat="1" applyFont="1" applyBorder="1"/>
    <xf numFmtId="41" fontId="1" fillId="3" borderId="13" xfId="1" applyFill="1" applyBorder="1" applyAlignment="1"/>
    <xf numFmtId="41" fontId="4" fillId="0" borderId="5" xfId="3" applyFont="1" applyBorder="1"/>
    <xf numFmtId="176" fontId="3" fillId="0" borderId="5" xfId="0" applyNumberFormat="1" applyFont="1" applyBorder="1"/>
    <xf numFmtId="0" fontId="3" fillId="3" borderId="5" xfId="0" applyFont="1" applyFill="1" applyBorder="1"/>
    <xf numFmtId="41" fontId="4" fillId="3" borderId="5" xfId="3" applyFont="1" applyFill="1" applyBorder="1"/>
    <xf numFmtId="176" fontId="3" fillId="3" borderId="5" xfId="0" applyNumberFormat="1" applyFont="1" applyFill="1" applyBorder="1"/>
    <xf numFmtId="3" fontId="4" fillId="11" borderId="10" xfId="0" applyNumberFormat="1" applyFont="1" applyFill="1" applyBorder="1"/>
    <xf numFmtId="3" fontId="4" fillId="3" borderId="5" xfId="0" applyNumberFormat="1" applyFont="1" applyFill="1" applyBorder="1"/>
    <xf numFmtId="0" fontId="20" fillId="5" borderId="14" xfId="0" applyFont="1" applyFill="1" applyBorder="1" applyAlignment="1">
      <alignment horizontal="center" vertical="center"/>
    </xf>
    <xf numFmtId="0" fontId="20" fillId="8" borderId="12" xfId="0" applyFont="1" applyFill="1" applyBorder="1" applyAlignment="1">
      <alignment horizontal="center" vertical="center"/>
    </xf>
    <xf numFmtId="3" fontId="4" fillId="11" borderId="8" xfId="0" applyNumberFormat="1" applyFont="1" applyFill="1" applyBorder="1"/>
    <xf numFmtId="177" fontId="4" fillId="11" borderId="8" xfId="0" applyNumberFormat="1" applyFont="1" applyFill="1" applyBorder="1"/>
    <xf numFmtId="176" fontId="4" fillId="11" borderId="8" xfId="0" applyNumberFormat="1" applyFont="1" applyFill="1" applyBorder="1"/>
    <xf numFmtId="176" fontId="4" fillId="11" borderId="12" xfId="0" applyNumberFormat="1" applyFont="1" applyFill="1" applyBorder="1"/>
    <xf numFmtId="176" fontId="4" fillId="3" borderId="5" xfId="0" applyNumberFormat="1" applyFont="1" applyFill="1" applyBorder="1"/>
    <xf numFmtId="0" fontId="17" fillId="11" borderId="8" xfId="0" applyFont="1" applyFill="1" applyBorder="1"/>
    <xf numFmtId="3" fontId="4" fillId="11" borderId="7" xfId="0" applyNumberFormat="1" applyFont="1" applyFill="1" applyBorder="1"/>
    <xf numFmtId="176" fontId="4" fillId="11" borderId="7" xfId="0" applyNumberFormat="1" applyFont="1" applyFill="1" applyBorder="1"/>
    <xf numFmtId="177" fontId="4" fillId="0" borderId="6" xfId="0" applyNumberFormat="1" applyFont="1" applyBorder="1"/>
    <xf numFmtId="49" fontId="18" fillId="6" borderId="6" xfId="0" applyNumberFormat="1" applyFont="1" applyFill="1" applyBorder="1" applyAlignment="1">
      <alignment horizontal="center" vertical="center" shrinkToFit="1"/>
    </xf>
    <xf numFmtId="49" fontId="6" fillId="9" borderId="5" xfId="0" applyNumberFormat="1" applyFont="1" applyFill="1" applyBorder="1" applyAlignment="1">
      <alignment horizontal="center" vertical="center" shrinkToFit="1"/>
    </xf>
    <xf numFmtId="49" fontId="18" fillId="6" borderId="8" xfId="0" applyNumberFormat="1" applyFont="1" applyFill="1" applyBorder="1" applyAlignment="1">
      <alignment horizontal="center" vertical="center"/>
    </xf>
    <xf numFmtId="49" fontId="6" fillId="0" borderId="1" xfId="1" applyNumberFormat="1" applyFont="1" applyBorder="1"/>
    <xf numFmtId="41" fontId="4" fillId="0" borderId="10" xfId="3" applyFont="1" applyBorder="1"/>
    <xf numFmtId="41" fontId="4" fillId="0" borderId="6" xfId="0" applyNumberFormat="1" applyFont="1" applyBorder="1"/>
    <xf numFmtId="41" fontId="4" fillId="0" borderId="5" xfId="0" applyNumberFormat="1" applyFont="1" applyBorder="1"/>
    <xf numFmtId="178" fontId="4" fillId="3" borderId="5" xfId="0" applyNumberFormat="1" applyFont="1" applyFill="1" applyBorder="1"/>
    <xf numFmtId="178" fontId="4" fillId="0" borderId="5" xfId="3" applyNumberFormat="1" applyFont="1" applyBorder="1"/>
    <xf numFmtId="178" fontId="4" fillId="0" borderId="6" xfId="3" applyNumberFormat="1" applyFont="1" applyBorder="1"/>
    <xf numFmtId="178" fontId="19" fillId="0" borderId="15" xfId="0" applyNumberFormat="1" applyFont="1" applyBorder="1"/>
    <xf numFmtId="49" fontId="5" fillId="10" borderId="5" xfId="0" applyNumberFormat="1" applyFont="1" applyFill="1" applyBorder="1" applyAlignment="1">
      <alignment horizontal="center" vertical="center" shrinkToFit="1"/>
    </xf>
    <xf numFmtId="49" fontId="5" fillId="10" borderId="9" xfId="0" applyNumberFormat="1" applyFont="1" applyFill="1" applyBorder="1" applyAlignment="1">
      <alignment horizontal="center" vertical="center" shrinkToFit="1"/>
    </xf>
    <xf numFmtId="49" fontId="20" fillId="8" borderId="5" xfId="0" applyNumberFormat="1" applyFont="1" applyFill="1" applyBorder="1" applyAlignment="1">
      <alignment horizontal="center" vertical="center"/>
    </xf>
    <xf numFmtId="49" fontId="6" fillId="9" borderId="9" xfId="0" applyNumberFormat="1" applyFont="1" applyFill="1" applyBorder="1" applyAlignment="1">
      <alignment horizontal="center" vertical="center" shrinkToFit="1"/>
    </xf>
    <xf numFmtId="49" fontId="20" fillId="5" borderId="5" xfId="0" applyNumberFormat="1" applyFont="1" applyFill="1" applyBorder="1" applyAlignment="1">
      <alignment horizontal="center" vertical="center" shrinkToFit="1"/>
    </xf>
    <xf numFmtId="49" fontId="5" fillId="0" borderId="5" xfId="0" applyNumberFormat="1" applyFont="1" applyBorder="1" applyAlignment="1">
      <alignment horizontal="center" vertical="center" shrinkToFit="1"/>
    </xf>
    <xf numFmtId="49" fontId="6" fillId="0" borderId="5" xfId="1" applyNumberFormat="1" applyFont="1" applyBorder="1" applyAlignment="1">
      <alignment horizontal="center" vertical="center" shrinkToFit="1"/>
    </xf>
    <xf numFmtId="49" fontId="6" fillId="0" borderId="13" xfId="1" applyNumberFormat="1" applyFont="1" applyBorder="1" applyAlignment="1">
      <alignment vertical="center"/>
    </xf>
    <xf numFmtId="49" fontId="6" fillId="0" borderId="1" xfId="1" applyNumberFormat="1" applyFont="1" applyBorder="1" applyAlignment="1">
      <alignment vertical="center"/>
    </xf>
    <xf numFmtId="49" fontId="6" fillId="0" borderId="4" xfId="1" applyNumberFormat="1" applyFont="1" applyBorder="1" applyAlignment="1">
      <alignment vertical="center"/>
    </xf>
    <xf numFmtId="49" fontId="3" fillId="0" borderId="0" xfId="0" applyNumberFormat="1" applyFont="1" applyAlignment="1">
      <alignment vertical="center"/>
    </xf>
    <xf numFmtId="49" fontId="5" fillId="0" borderId="3" xfId="0" applyNumberFormat="1" applyFont="1" applyBorder="1" applyAlignment="1">
      <alignment vertical="center"/>
    </xf>
    <xf numFmtId="49" fontId="5" fillId="0" borderId="3" xfId="0" applyNumberFormat="1" applyFont="1" applyBorder="1" applyAlignment="1">
      <alignment horizontal="right" vertical="center"/>
    </xf>
    <xf numFmtId="49" fontId="13" fillId="0" borderId="0" xfId="0" applyNumberFormat="1" applyFont="1" applyAlignment="1">
      <alignment horizontal="center" vertical="center"/>
    </xf>
    <xf numFmtId="0" fontId="0" fillId="0" borderId="0" xfId="0" applyAlignment="1">
      <alignment horizontal="left" wrapText="1"/>
    </xf>
    <xf numFmtId="41" fontId="15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2" fillId="0" borderId="0" xfId="0" applyFont="1"/>
    <xf numFmtId="0" fontId="0" fillId="0" borderId="0" xfId="0"/>
    <xf numFmtId="41" fontId="14" fillId="0" borderId="0" xfId="1" applyFont="1" applyAlignment="1"/>
  </cellXfs>
  <cellStyles count="4">
    <cellStyle name="パーセント" xfId="2" builtinId="5"/>
    <cellStyle name="桁区切り" xfId="1" builtinId="6"/>
    <cellStyle name="桁区切り 2" xfId="3" xr:uid="{FADD5BB4-22B4-4CE0-8B7D-319EB05B36C7}"/>
    <cellStyle name="標準" xfId="0" builtinId="0"/>
  </cellStyles>
  <dxfs count="2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  <a:endParaRPr lang="ja-JP" altLang="en-US" b="0"/>
          </a:p>
        </c:rich>
      </c:tx>
      <c:layout>
        <c:manualLayout>
          <c:xMode val="edge"/>
          <c:yMode val="edge"/>
          <c:x val="0.38045937938715307"/>
          <c:y val="3.05301763448227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096651099889675E-2"/>
          <c:y val="0.11968056541999413"/>
          <c:w val="0.95582888038701108"/>
          <c:h val="0.6778304779392658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計画売上（百万円)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見込み売上（百万円)</c:v>
                </c:pt>
              </c:strCache>
            </c:strRef>
          </c:tx>
          <c:spPr>
            <a:gradFill>
              <a:gsLst>
                <a:gs pos="0">
                  <a:schemeClr val="accent1">
                    <a:tint val="86000"/>
                    <a:lumMod val="110000"/>
                    <a:tint val="67000"/>
                  </a:schemeClr>
                </a:gs>
                <a:gs pos="50000">
                  <a:schemeClr val="accent1">
                    <a:tint val="86000"/>
                    <a:lumMod val="105000"/>
                    <a:tint val="73000"/>
                  </a:schemeClr>
                </a:gs>
                <a:gs pos="100000">
                  <a:schemeClr val="accent1">
                    <a:tint val="86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86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ser>
          <c:idx val="3"/>
          <c:order val="2"/>
          <c:tx>
            <c:strRef>
              <c:f>合計データ!$Q$1</c:f>
              <c:strCache>
                <c:ptCount val="1"/>
                <c:pt idx="0">
                  <c:v>見込み売上（仮)（百万）</c:v>
                </c:pt>
              </c:strCache>
            </c:strRef>
          </c:tx>
          <c:spPr>
            <a:gradFill>
              <a:gsLst>
                <a:gs pos="0">
                  <a:schemeClr val="accent1">
                    <a:tint val="58000"/>
                    <a:lumMod val="110000"/>
                    <a:tint val="67000"/>
                  </a:schemeClr>
                </a:gs>
                <a:gs pos="50000">
                  <a:schemeClr val="accent1">
                    <a:tint val="58000"/>
                    <a:lumMod val="105000"/>
                    <a:tint val="73000"/>
                  </a:schemeClr>
                </a:gs>
                <a:gs pos="100000">
                  <a:schemeClr val="accent1">
                    <a:tint val="58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58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7-411C-9D5A-17C2070B6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3"/>
          <c:tx>
            <c:strRef>
              <c:f>合計データ!$R$1</c:f>
              <c:strCache>
                <c:ptCount val="1"/>
                <c:pt idx="0">
                  <c:v>売上　達成率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4081408110890631E-2"/>
          <c:y val="0.87043936709982861"/>
          <c:w val="0.85183704777616243"/>
          <c:h val="6.08677361243203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  <a:r>
              <a:rPr lang="ja-JP" altLang="en-US" sz="1400" b="1" i="0" u="none" strike="noStrike" kern="1200" cap="none" spc="20" baseline="0">
                <a:solidFill>
                  <a:srgbClr val="000000">
                    <a:lumMod val="50000"/>
                    <a:lumOff val="50000"/>
                  </a:srgbClr>
                </a:solidFill>
              </a:rPr>
              <a:t>（当日・前日）</a:t>
            </a:r>
            <a:endParaRPr lang="ja-JP" alt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見込み稼働率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合計データ!$J$1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合計データ!$J$2:$J$7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合計データ!$T$1</c:f>
              <c:strCache>
                <c:ptCount val="1"/>
                <c:pt idx="0">
                  <c:v>稼働率　前日対比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合計データ!$T$2:$T$7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合計データ!$S$1</c:f>
              <c:strCache>
                <c:ptCount val="1"/>
                <c:pt idx="0">
                  <c:v>稼働率　達成率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dLbl>
              <c:idx val="0"/>
              <c:layout>
                <c:manualLayout>
                  <c:x val="-3.3731699928178295E-2"/>
                  <c:y val="-5.7342126640728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7F6-4812-A3AF-6D8096DF1CCD}"/>
                </c:ext>
              </c:extLst>
            </c:dLbl>
            <c:dLbl>
              <c:idx val="1"/>
              <c:layout>
                <c:manualLayout>
                  <c:x val="-3.3731699928178281E-2"/>
                  <c:y val="-6.1867045762252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7F6-4812-A3AF-6D8096DF1CCD}"/>
                </c:ext>
              </c:extLst>
            </c:dLbl>
            <c:dLbl>
              <c:idx val="2"/>
              <c:layout>
                <c:manualLayout>
                  <c:x val="-2.9404560508947079E-2"/>
                  <c:y val="-6.63919648837773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7F6-4812-A3AF-6D8096DF1CCD}"/>
                </c:ext>
              </c:extLst>
            </c:dLbl>
            <c:dLbl>
              <c:idx val="3"/>
              <c:layout>
                <c:manualLayout>
                  <c:x val="-2.9404560508947145E-2"/>
                  <c:y val="-7.54418031268259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7F6-4812-A3AF-6D8096DF1CCD}"/>
                </c:ext>
              </c:extLst>
            </c:dLbl>
            <c:dLbl>
              <c:idx val="4"/>
              <c:layout>
                <c:manualLayout>
                  <c:x val="-2.9404560508947207E-2"/>
                  <c:y val="-9.35414796129234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7F6-4812-A3AF-6D8096DF1CCD}"/>
                </c:ext>
              </c:extLst>
            </c:dLbl>
            <c:dLbl>
              <c:idx val="5"/>
              <c:layout>
                <c:manualLayout>
                  <c:x val="-2.9404560508947079E-2"/>
                  <c:y val="-0.1161660752205452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7F6-4812-A3AF-6D8096DF1C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3509053939455E-2"/>
          <c:w val="0.86840985548094085"/>
          <c:h val="0.92861302864293738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合計データ!$M$10</c:f>
              <c:strCache>
                <c:ptCount val="1"/>
                <c:pt idx="0">
                  <c:v>見込み稼働率（仮）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合計データ!$M$11:$M$40</c:f>
              <c:numCache>
                <c:formatCode>0.0%;\-0.0%;"-"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CC86-4A4F-B0E5-AC5AD29C0BBA}"/>
            </c:ext>
          </c:extLst>
        </c:ser>
        <c:ser>
          <c:idx val="1"/>
          <c:order val="1"/>
          <c:tx>
            <c:strRef>
              <c:f>合計データ!$K$10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合計データ!$K$11:$K$40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0"/>
          <c:order val="2"/>
          <c:tx>
            <c:strRef>
              <c:f>合計データ!$J$10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合計データ!$J$11:$J$40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2"/>
          <c:order val="3"/>
          <c:tx>
            <c:strRef>
              <c:f>合計データ!$L$10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.0%;\▲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合計データ!$L$11:$L$40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;\-0.0%;&quot;-&quot;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575815599415373"/>
          <c:y val="0.95157954043467385"/>
          <c:w val="0.52848355211526188"/>
          <c:h val="2.03502784865370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0.11779964823249213"/>
          <c:w val="0.95565079365079364"/>
          <c:h val="0.62999366535373158"/>
        </c:manualLayout>
      </c:layout>
      <c:areaChart>
        <c:grouping val="standar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alpha val="33000"/>
              </a:schemeClr>
            </a:solidFill>
            <a:ln w="9525" cap="flat" cmpd="sng" algn="ctr">
              <a:noFill/>
              <a:round/>
            </a:ln>
            <a:effectLst/>
          </c:spPr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7746191"/>
        <c:axId val="1127742831"/>
      </c:areaChart>
      <c:lineChart>
        <c:grouping val="standard"/>
        <c:varyColors val="0"/>
        <c:ser>
          <c:idx val="0"/>
          <c:order val="1"/>
          <c:tx>
            <c:strRef>
              <c:f>合計データ!$F$1</c:f>
              <c:strCache>
                <c:ptCount val="1"/>
                <c:pt idx="0">
                  <c:v>見込み稼働率</c:v>
                </c:pt>
              </c:strCache>
            </c:strRef>
          </c:tx>
          <c:spPr>
            <a:ln w="15875" cap="rnd">
              <a:solidFill>
                <a:schemeClr val="accent2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B-4FE2-AF34-D45E32C2AB5B}"/>
            </c:ext>
          </c:extLst>
        </c:ser>
        <c:ser>
          <c:idx val="2"/>
          <c:order val="2"/>
          <c:tx>
            <c:strRef>
              <c:f>合計データ!$G$1</c:f>
              <c:strCache>
                <c:ptCount val="1"/>
                <c:pt idx="0">
                  <c:v>見込み稼働率（仮）</c:v>
                </c:pt>
              </c:strCache>
            </c:strRef>
          </c:tx>
          <c:spPr>
            <a:ln w="15875" cap="rnd">
              <a:solidFill>
                <a:schemeClr val="accent2">
                  <a:tint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合計データ!$G$2:$G$7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1">
                  <a:lumMod val="50000"/>
                  <a:lumOff val="50000"/>
                </a:schemeClr>
              </a:solidFill>
              <a:prstDash val="dash"/>
            </a:ln>
            <a:effectLst/>
          </c:spPr>
        </c:hiLowLines>
        <c:marker val="1"/>
        <c:smooth val="0"/>
        <c:axId val="1127746191"/>
        <c:axId val="1127742831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07585871203E-2"/>
          <c:y val="0.81668383037303638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8631208753801E-2"/>
          <c:w val="0.86840985548094085"/>
          <c:h val="0.92707192559684592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合計データ2!$R$2</c:f>
              <c:strCache>
                <c:ptCount val="1"/>
                <c:pt idx="0">
                  <c:v> 見込売上+仮（万円)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合計データ2!$R$3:$R$32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0A-41D0-8771-E1D77BE60CE4}"/>
            </c:ext>
          </c:extLst>
        </c:ser>
        <c:ser>
          <c:idx val="1"/>
          <c:order val="1"/>
          <c:tx>
            <c:strRef>
              <c:f>合計データ2!$P$2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合計データ2!$P$3:$P$32</c:f>
              <c:numCache>
                <c:formatCode>#,##0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79-422F-A835-EFDE6C98623B}"/>
            </c:ext>
          </c:extLst>
        </c:ser>
        <c:ser>
          <c:idx val="0"/>
          <c:order val="2"/>
          <c:tx>
            <c:strRef>
              <c:f>合計データ2!$O$2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合計データ2!$O$3:$O$32</c:f>
              <c:numCache>
                <c:formatCode>#,##0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9-422F-A835-EFDE6C98623B}"/>
            </c:ext>
          </c:extLst>
        </c:ser>
        <c:ser>
          <c:idx val="2"/>
          <c:order val="3"/>
          <c:tx>
            <c:strRef>
              <c:f>合計データ2!$Q$2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合計データ2!$Q$3:$Q$32</c:f>
              <c:numCache>
                <c:formatCode>#,##0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79-422F-A835-EFDE6C98623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542299462733457"/>
          <c:y val="0.94884168064122265"/>
          <c:w val="0.64915401074533075"/>
          <c:h val="2.0424547531421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485312899106E-2"/>
          <c:w val="0.86840985548094085"/>
          <c:h val="0.92982180388370994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合計データ3!$R$2</c:f>
              <c:strCache>
                <c:ptCount val="1"/>
                <c:pt idx="0">
                  <c:v> 見込売上+仮（万円)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合計データ3!$R$3:$R$32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7F-4C36-94ED-F51257B8463B}"/>
            </c:ext>
          </c:extLst>
        </c:ser>
        <c:ser>
          <c:idx val="1"/>
          <c:order val="1"/>
          <c:tx>
            <c:strRef>
              <c:f>合計データ3!$P$2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合計データ3!$P$3:$P$32</c:f>
              <c:numCache>
                <c:formatCode>#,##0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67-4E5A-B734-EF64D4C89D25}"/>
            </c:ext>
          </c:extLst>
        </c:ser>
        <c:ser>
          <c:idx val="0"/>
          <c:order val="2"/>
          <c:tx>
            <c:strRef>
              <c:f>合計データ3!$O$2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合計データ3!$O$3:$O$32</c:f>
              <c:numCache>
                <c:formatCode>#,##0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7-4E5A-B734-EF64D4C89D25}"/>
            </c:ext>
          </c:extLst>
        </c:ser>
        <c:ser>
          <c:idx val="2"/>
          <c:order val="3"/>
          <c:tx>
            <c:strRef>
              <c:f>合計データ3!$Q$2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合計データ3!$Q$3:$Q$32</c:f>
              <c:numCache>
                <c:formatCode>#,##0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67-4E5A-B734-EF64D4C89D2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542299462733457"/>
          <c:y val="0.95664172725535745"/>
          <c:w val="0.64915401074533075"/>
          <c:h val="2.03697669975161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16311294146992E-2"/>
          <c:w val="0.86840985548094085"/>
          <c:h val="0.92870854590652974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合計データ2!$M$2</c:f>
              <c:strCache>
                <c:ptCount val="1"/>
                <c:pt idx="0">
                  <c:v>見込み稼働率（仮）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合計データ2!$M$3:$M$32</c:f>
              <c:numCache>
                <c:formatCode>0.0%;\-0.0%;"-"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B69-4EF8-AE20-C3E087A4F36A}"/>
            </c:ext>
          </c:extLst>
        </c:ser>
        <c:ser>
          <c:idx val="1"/>
          <c:order val="1"/>
          <c:tx>
            <c:strRef>
              <c:f>合計データ2!$K$2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D5C7-4447-9AAA-F162B564D047}"/>
            </c:ext>
          </c:extLst>
        </c:ser>
        <c:ser>
          <c:idx val="0"/>
          <c:order val="2"/>
          <c:tx>
            <c:strRef>
              <c:f>合計データ2!$J$2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5C7-4447-9AAA-F162B564D047}"/>
            </c:ext>
          </c:extLst>
        </c:ser>
        <c:ser>
          <c:idx val="2"/>
          <c:order val="3"/>
          <c:tx>
            <c:strRef>
              <c:f>合計データ2!$L$2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.0%;\▲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D5C7-4447-9AAA-F162B564D0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;\-0.0%;&quot;-&quot;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885972023001828"/>
          <c:y val="0.95037011790657511"/>
          <c:w val="0.52228055953996344"/>
          <c:h val="2.03230493874811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3743561087521988E-2"/>
          <c:w val="0.86840985548094085"/>
          <c:h val="0.93134525556924119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合計データ3!$M$2</c:f>
              <c:strCache>
                <c:ptCount val="1"/>
                <c:pt idx="0">
                  <c:v>見込み稼働率（仮）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合計データ3!$M$3:$M$32</c:f>
              <c:numCache>
                <c:formatCode>0.0%;\-0.0%;"-"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CCA-4FA1-ACF6-B4FB909E608A}"/>
            </c:ext>
          </c:extLst>
        </c:ser>
        <c:ser>
          <c:idx val="1"/>
          <c:order val="1"/>
          <c:tx>
            <c:strRef>
              <c:f>合計データ3!$K$2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A40C-45E6-905B-406A55C19CFC}"/>
            </c:ext>
          </c:extLst>
        </c:ser>
        <c:ser>
          <c:idx val="0"/>
          <c:order val="2"/>
          <c:tx>
            <c:strRef>
              <c:f>合計データ3!$J$2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40C-45E6-905B-406A55C19CFC}"/>
            </c:ext>
          </c:extLst>
        </c:ser>
        <c:ser>
          <c:idx val="2"/>
          <c:order val="3"/>
          <c:tx>
            <c:strRef>
              <c:f>合計データ3!$L$2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.0%;\▲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A40C-45E6-905B-406A55C19CF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;\-0.0%;&quot;-&quot;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885972023001828"/>
          <c:y val="0.95383471916700446"/>
          <c:w val="0.52228055953996344"/>
          <c:h val="1.99275733022717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54700432130751"/>
          <c:y val="1.4113422005764781E-2"/>
          <c:w val="0.86847808887237843"/>
          <c:h val="0.93462980150588315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合計データ!$R$10</c:f>
              <c:strCache>
                <c:ptCount val="1"/>
                <c:pt idx="0">
                  <c:v>見込み売上（仮)（百万）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合計データ!$R$11:$R$40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0D-4436-979C-AA99765C107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合計データ!$P$11:$P$40</c:f>
              <c:numCache>
                <c:formatCode>#,##0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0D-4436-979C-AA99765C1078}"/>
            </c:ext>
          </c:extLst>
        </c:ser>
        <c:ser>
          <c:idx val="0"/>
          <c:order val="2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合計データ!$O$11:$O$40</c:f>
              <c:numCache>
                <c:formatCode>#,##0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0D-4436-979C-AA99765C1078}"/>
            </c:ext>
          </c:extLst>
        </c:ser>
        <c:ser>
          <c:idx val="2"/>
          <c:order val="3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合計データ!$Q$11:$Q$40</c:f>
              <c:numCache>
                <c:formatCode>#,##0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0D-4436-979C-AA99765C107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826512033174167"/>
          <c:y val="0.9538753769682895"/>
          <c:w val="0.68346962351041207"/>
          <c:h val="2.0463855748501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12699</xdr:rowOff>
    </xdr:from>
    <xdr:to>
      <xdr:col>8</xdr:col>
      <xdr:colOff>721525</xdr:colOff>
      <xdr:row>16</xdr:row>
      <xdr:rowOff>54429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17</xdr:row>
      <xdr:rowOff>50345</xdr:rowOff>
    </xdr:from>
    <xdr:to>
      <xdr:col>8</xdr:col>
      <xdr:colOff>712000</xdr:colOff>
      <xdr:row>30</xdr:row>
      <xdr:rowOff>26195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55245</xdr:colOff>
      <xdr:row>108</xdr:row>
      <xdr:rowOff>0</xdr:rowOff>
    </xdr:from>
    <xdr:to>
      <xdr:col>8</xdr:col>
      <xdr:colOff>721525</xdr:colOff>
      <xdr:row>153</xdr:row>
      <xdr:rowOff>99058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44450</xdr:colOff>
      <xdr:row>30</xdr:row>
      <xdr:rowOff>187325</xdr:rowOff>
    </xdr:from>
    <xdr:to>
      <xdr:col>8</xdr:col>
      <xdr:colOff>692950</xdr:colOff>
      <xdr:row>43</xdr:row>
      <xdr:rowOff>163175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19B51A1-4E11-4479-9DA2-9FE080B65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55245</xdr:colOff>
      <xdr:row>160</xdr:row>
      <xdr:rowOff>38100</xdr:rowOff>
    </xdr:from>
    <xdr:to>
      <xdr:col>8</xdr:col>
      <xdr:colOff>721525</xdr:colOff>
      <xdr:row>205</xdr:row>
      <xdr:rowOff>93344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331A8B3-2E95-47C7-A595-C228F7B7A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55245</xdr:colOff>
      <xdr:row>264</xdr:row>
      <xdr:rowOff>9524</xdr:rowOff>
    </xdr:from>
    <xdr:to>
      <xdr:col>8</xdr:col>
      <xdr:colOff>721525</xdr:colOff>
      <xdr:row>309</xdr:row>
      <xdr:rowOff>93344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DB72A304-6E19-46BA-B4D4-DA4A341B8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55245</xdr:colOff>
      <xdr:row>212</xdr:row>
      <xdr:rowOff>28575</xdr:rowOff>
    </xdr:from>
    <xdr:to>
      <xdr:col>8</xdr:col>
      <xdr:colOff>721525</xdr:colOff>
      <xdr:row>257</xdr:row>
      <xdr:rowOff>131444</xdr:rowOff>
    </xdr:to>
    <xdr:graphicFrame macro="">
      <xdr:nvGraphicFramePr>
        <xdr:cNvPr id="16" name="グラフ 15">
          <a:extLst>
            <a:ext uri="{FF2B5EF4-FFF2-40B4-BE49-F238E27FC236}">
              <a16:creationId xmlns:a16="http://schemas.microsoft.com/office/drawing/2014/main" id="{CCF0A79B-D158-4E30-8C2C-7FF0ACE20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55245</xdr:colOff>
      <xdr:row>316</xdr:row>
      <xdr:rowOff>7938</xdr:rowOff>
    </xdr:from>
    <xdr:to>
      <xdr:col>8</xdr:col>
      <xdr:colOff>721525</xdr:colOff>
      <xdr:row>362</xdr:row>
      <xdr:rowOff>131443</xdr:rowOff>
    </xdr:to>
    <xdr:graphicFrame macro="">
      <xdr:nvGraphicFramePr>
        <xdr:cNvPr id="19" name="グラフ 18">
          <a:extLst>
            <a:ext uri="{FF2B5EF4-FFF2-40B4-BE49-F238E27FC236}">
              <a16:creationId xmlns:a16="http://schemas.microsoft.com/office/drawing/2014/main" id="{6DE78FD7-963A-438D-84F1-A5481AD0D1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59055</xdr:colOff>
      <xdr:row>56</xdr:row>
      <xdr:rowOff>57150</xdr:rowOff>
    </xdr:from>
    <xdr:to>
      <xdr:col>8</xdr:col>
      <xdr:colOff>721525</xdr:colOff>
      <xdr:row>101</xdr:row>
      <xdr:rowOff>97154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624EB068-856D-4F08-A070-19E6B48B7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0.09612</cdr:x>
      <cdr:y>0.92526</cdr:y>
    </cdr:from>
    <cdr:to>
      <cdr:x>0.36427</cdr:x>
      <cdr:y>1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1301593B-13E8-89FC-9315-C0D5C301F69F}"/>
            </a:ext>
          </a:extLst>
        </cdr:cNvPr>
        <cdr:cNvSpPr txBox="1"/>
      </cdr:nvSpPr>
      <cdr:spPr>
        <a:xfrm xmlns:a="http://schemas.openxmlformats.org/drawingml/2006/main">
          <a:off x="706754" y="3079116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0.24637</cdr:x>
      <cdr:y>0.96874</cdr:y>
    </cdr:from>
    <cdr:to>
      <cdr:x>0.51431</cdr:x>
      <cdr:y>0.99373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6A5C43D3-1EB8-66A3-D83D-9CD07D7CA24D}"/>
            </a:ext>
          </a:extLst>
        </cdr:cNvPr>
        <cdr:cNvSpPr txBox="1"/>
      </cdr:nvSpPr>
      <cdr:spPr>
        <a:xfrm xmlns:a="http://schemas.openxmlformats.org/drawingml/2006/main">
          <a:off x="1812925" y="9642475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0.14957</cdr:x>
      <cdr:y>0.89439</cdr:y>
    </cdr:from>
    <cdr:to>
      <cdr:x>0.41803</cdr:x>
      <cdr:y>0.98241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F3B10103-0A74-BCAE-5B97-727360709A8C}"/>
            </a:ext>
          </a:extLst>
        </cdr:cNvPr>
        <cdr:cNvSpPr txBox="1"/>
      </cdr:nvSpPr>
      <cdr:spPr>
        <a:xfrm xmlns:a="http://schemas.openxmlformats.org/drawingml/2006/main">
          <a:off x="1098550" y="252730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0.18942</cdr:x>
      <cdr:y>0.96843</cdr:y>
    </cdr:from>
    <cdr:to>
      <cdr:x>0.45736</cdr:x>
      <cdr:y>0.99351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24BF31CA-6E0F-3DC6-75CF-0D7C5CC942D4}"/>
            </a:ext>
          </a:extLst>
        </cdr:cNvPr>
        <cdr:cNvSpPr txBox="1"/>
      </cdr:nvSpPr>
      <cdr:spPr>
        <a:xfrm xmlns:a="http://schemas.openxmlformats.org/drawingml/2006/main">
          <a:off x="1393825" y="9604375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0.19071</cdr:x>
      <cdr:y>0.97446</cdr:y>
    </cdr:from>
    <cdr:to>
      <cdr:x>0.45865</cdr:x>
      <cdr:y>0.99947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B60EEEED-807B-A53E-A5B7-B4C6B55E7DDF}"/>
            </a:ext>
          </a:extLst>
        </cdr:cNvPr>
        <cdr:cNvSpPr txBox="1"/>
      </cdr:nvSpPr>
      <cdr:spPr>
        <a:xfrm xmlns:a="http://schemas.openxmlformats.org/drawingml/2006/main">
          <a:off x="1403350" y="969010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0.25025</cdr:x>
      <cdr:y>0.96744</cdr:y>
    </cdr:from>
    <cdr:to>
      <cdr:x>0.5182</cdr:x>
      <cdr:y>0.9924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037AAE61-E98E-8960-53E0-56910ED148A9}"/>
            </a:ext>
          </a:extLst>
        </cdr:cNvPr>
        <cdr:cNvSpPr txBox="1"/>
      </cdr:nvSpPr>
      <cdr:spPr>
        <a:xfrm xmlns:a="http://schemas.openxmlformats.org/drawingml/2006/main">
          <a:off x="1841500" y="9642475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0.24896</cdr:x>
      <cdr:y>0.97017</cdr:y>
    </cdr:from>
    <cdr:to>
      <cdr:x>0.5169</cdr:x>
      <cdr:y>0.99464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72539DBE-6321-20A6-40E5-0DED2E2AEE6F}"/>
            </a:ext>
          </a:extLst>
        </cdr:cNvPr>
        <cdr:cNvSpPr txBox="1"/>
      </cdr:nvSpPr>
      <cdr:spPr>
        <a:xfrm xmlns:a="http://schemas.openxmlformats.org/drawingml/2006/main">
          <a:off x="1831975" y="986155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0.1725</cdr:x>
      <cdr:y>0.97126</cdr:y>
    </cdr:from>
    <cdr:to>
      <cdr:x>0.4403</cdr:x>
      <cdr:y>0.99639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FD8ABF9F-11AF-3C39-0611-D50E38B842CD}"/>
            </a:ext>
          </a:extLst>
        </cdr:cNvPr>
        <cdr:cNvSpPr txBox="1"/>
      </cdr:nvSpPr>
      <cdr:spPr>
        <a:xfrm xmlns:a="http://schemas.openxmlformats.org/drawingml/2006/main">
          <a:off x="1270000" y="961390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67"/>
  <sheetViews>
    <sheetView showGridLines="0" tabSelected="1" view="pageLayout" zoomScaleNormal="100" workbookViewId="0">
      <selection sqref="A1:I1"/>
    </sheetView>
  </sheetViews>
  <sheetFormatPr defaultColWidth="11.5546875" defaultRowHeight="17.399999999999999" x14ac:dyDescent="0.45"/>
  <cols>
    <col min="7" max="7" width="14.6640625" bestFit="1" customWidth="1"/>
  </cols>
  <sheetData>
    <row r="1" spans="1:9" ht="30" customHeight="1" x14ac:dyDescent="0.65">
      <c r="A1" s="91" t="str">
        <f ca="1">_xlfn.CONCAT("デイリーレポート - ",TEXT(TODAY(),"yy年mm月dd日"))</f>
        <v>デイリーレポート - 26年01月28日</v>
      </c>
      <c r="B1" s="91"/>
      <c r="C1" s="91"/>
      <c r="D1" s="91"/>
      <c r="E1" s="91"/>
      <c r="F1" s="91"/>
      <c r="G1" s="91"/>
      <c r="H1" s="91"/>
      <c r="I1" s="91"/>
    </row>
    <row r="17" ht="16.5" customHeight="1" x14ac:dyDescent="0.45"/>
    <row r="18" ht="16.5" customHeight="1" x14ac:dyDescent="0.45"/>
    <row r="46" spans="2:8" x14ac:dyDescent="0.45">
      <c r="B46" s="11"/>
      <c r="C46" s="12" t="s">
        <v>17</v>
      </c>
      <c r="D46" s="12" t="s">
        <v>18</v>
      </c>
      <c r="E46" s="12" t="s">
        <v>19</v>
      </c>
      <c r="F46" s="12" t="s">
        <v>20</v>
      </c>
      <c r="G46" s="12" t="s">
        <v>21</v>
      </c>
      <c r="H46" s="12" t="s">
        <v>22</v>
      </c>
    </row>
    <row r="47" spans="2:8" ht="18" x14ac:dyDescent="0.45">
      <c r="B47" s="16" t="s">
        <v>10</v>
      </c>
      <c r="C47" s="17">
        <f>合計データ!W2</f>
        <v>0</v>
      </c>
      <c r="D47" s="17">
        <f>合計データ!X2</f>
        <v>0</v>
      </c>
      <c r="E47" s="17">
        <f>合計データ!Y2</f>
        <v>0</v>
      </c>
      <c r="F47" s="17">
        <f>合計データ!Z2</f>
        <v>0</v>
      </c>
      <c r="G47" s="17">
        <f>合計データ!AA2</f>
        <v>0</v>
      </c>
      <c r="H47" s="17">
        <f>合計データ!AB2</f>
        <v>0</v>
      </c>
    </row>
    <row r="48" spans="2:8" x14ac:dyDescent="0.45">
      <c r="B48" s="20" t="s">
        <v>23</v>
      </c>
      <c r="C48" s="21">
        <f>合計データ!W3</f>
        <v>0</v>
      </c>
      <c r="D48" s="21">
        <f>合計データ!X3</f>
        <v>0</v>
      </c>
      <c r="E48" s="21">
        <f>合計データ!Y3</f>
        <v>0</v>
      </c>
      <c r="F48" s="21">
        <f>合計データ!Z3</f>
        <v>0</v>
      </c>
      <c r="G48" s="21">
        <f>合計データ!AA3</f>
        <v>0</v>
      </c>
      <c r="H48" s="21">
        <f>合計データ!AB3</f>
        <v>0</v>
      </c>
    </row>
    <row r="49" spans="1:9" ht="18" x14ac:dyDescent="0.45">
      <c r="B49" s="16" t="s">
        <v>11</v>
      </c>
      <c r="C49" s="17">
        <f>合計データ!W4</f>
        <v>0</v>
      </c>
      <c r="D49" s="17">
        <f>合計データ!X4</f>
        <v>0</v>
      </c>
      <c r="E49" s="17">
        <f>合計データ!Y4</f>
        <v>0</v>
      </c>
      <c r="F49" s="17">
        <f>合計データ!Z4</f>
        <v>0</v>
      </c>
      <c r="G49" s="17">
        <f>合計データ!AA4</f>
        <v>0</v>
      </c>
      <c r="H49" s="17">
        <f>合計データ!AB4</f>
        <v>0</v>
      </c>
    </row>
    <row r="50" spans="1:9" x14ac:dyDescent="0.45">
      <c r="B50" s="20" t="s">
        <v>23</v>
      </c>
      <c r="C50" s="21">
        <f>合計データ!W5</f>
        <v>0</v>
      </c>
      <c r="D50" s="21">
        <f>合計データ!X5</f>
        <v>0</v>
      </c>
      <c r="E50" s="21">
        <f>合計データ!Y5</f>
        <v>0</v>
      </c>
      <c r="F50" s="21">
        <f>合計データ!Z5</f>
        <v>0</v>
      </c>
      <c r="G50" s="21">
        <f>合計データ!AA5</f>
        <v>0</v>
      </c>
      <c r="H50" s="21">
        <f>合計データ!AB5</f>
        <v>0</v>
      </c>
    </row>
    <row r="51" spans="1:9" x14ac:dyDescent="0.45">
      <c r="B51" s="15"/>
      <c r="C51" s="18"/>
      <c r="D51" s="18"/>
      <c r="E51" s="18"/>
      <c r="F51" s="18"/>
      <c r="G51" s="18"/>
      <c r="H51" s="18"/>
    </row>
    <row r="52" spans="1:9" x14ac:dyDescent="0.45">
      <c r="A52" s="88"/>
      <c r="B52" s="88"/>
      <c r="C52" s="88"/>
      <c r="D52" s="88"/>
      <c r="E52" s="88"/>
      <c r="F52" s="88"/>
      <c r="G52" s="88"/>
      <c r="H52" s="88"/>
      <c r="I52" s="88"/>
    </row>
    <row r="53" spans="1:9" x14ac:dyDescent="0.45">
      <c r="A53" s="88"/>
      <c r="B53" s="88"/>
      <c r="C53" s="88"/>
      <c r="D53" s="88"/>
      <c r="E53" s="88"/>
      <c r="F53" s="88"/>
      <c r="G53" s="88"/>
      <c r="H53" s="88"/>
      <c r="I53" s="88"/>
    </row>
    <row r="54" spans="1:9" x14ac:dyDescent="0.45">
      <c r="A54" s="88"/>
      <c r="B54" s="88"/>
      <c r="C54" s="88"/>
      <c r="D54" s="88"/>
      <c r="E54" s="88"/>
      <c r="F54" s="88"/>
      <c r="G54" s="88"/>
      <c r="H54" s="88"/>
      <c r="I54" s="88"/>
    </row>
    <row r="56" spans="1:9" ht="26.4" x14ac:dyDescent="0.65">
      <c r="C56" s="92" t="str">
        <f>合計データ!A9</f>
        <v>売上　計画ｘ見込み（1900年1月）</v>
      </c>
      <c r="D56" s="92"/>
      <c r="E56" s="92"/>
      <c r="F56" s="92"/>
      <c r="G56" s="92"/>
    </row>
    <row r="104" spans="1:9" x14ac:dyDescent="0.45">
      <c r="A104" s="88">
        <f>$A$52</f>
        <v>0</v>
      </c>
      <c r="B104" s="88"/>
      <c r="C104" s="88"/>
      <c r="D104" s="88"/>
      <c r="E104" s="88"/>
      <c r="F104" s="88"/>
      <c r="G104" s="88"/>
      <c r="H104" s="88"/>
      <c r="I104" s="88"/>
    </row>
    <row r="105" spans="1:9" x14ac:dyDescent="0.45">
      <c r="A105" s="88"/>
      <c r="B105" s="88"/>
      <c r="C105" s="88"/>
      <c r="D105" s="88"/>
      <c r="E105" s="88"/>
      <c r="F105" s="88"/>
      <c r="G105" s="88"/>
      <c r="H105" s="88"/>
      <c r="I105" s="88"/>
    </row>
    <row r="106" spans="1:9" x14ac:dyDescent="0.45">
      <c r="A106" s="88"/>
      <c r="B106" s="88"/>
      <c r="C106" s="88"/>
      <c r="D106" s="88"/>
      <c r="E106" s="88"/>
      <c r="F106" s="88"/>
      <c r="G106" s="88"/>
      <c r="H106" s="88"/>
      <c r="I106" s="88"/>
    </row>
    <row r="108" spans="1:9" ht="26.4" x14ac:dyDescent="0.65">
      <c r="C108" s="92" t="str">
        <f>合計データ!H9</f>
        <v>稼働率　計画ｘ見込み（1900年1月）</v>
      </c>
      <c r="D108" s="90"/>
      <c r="E108" s="90"/>
      <c r="F108" s="90"/>
      <c r="G108" s="90"/>
    </row>
    <row r="156" spans="1:9" x14ac:dyDescent="0.45">
      <c r="A156" s="88">
        <f>$A$52</f>
        <v>0</v>
      </c>
      <c r="B156" s="88"/>
      <c r="C156" s="88"/>
      <c r="D156" s="88"/>
      <c r="E156" s="88"/>
      <c r="F156" s="88"/>
      <c r="G156" s="88"/>
      <c r="H156" s="88"/>
      <c r="I156" s="88"/>
    </row>
    <row r="157" spans="1:9" x14ac:dyDescent="0.45">
      <c r="A157" s="88"/>
      <c r="B157" s="88"/>
      <c r="C157" s="88"/>
      <c r="D157" s="88"/>
      <c r="E157" s="88"/>
      <c r="F157" s="88"/>
      <c r="G157" s="88"/>
      <c r="H157" s="88"/>
      <c r="I157" s="88"/>
    </row>
    <row r="158" spans="1:9" x14ac:dyDescent="0.45">
      <c r="A158" s="88"/>
      <c r="B158" s="88"/>
      <c r="C158" s="88"/>
      <c r="D158" s="88"/>
      <c r="E158" s="88"/>
      <c r="F158" s="88"/>
      <c r="G158" s="88"/>
      <c r="H158" s="88"/>
      <c r="I158" s="88"/>
    </row>
    <row r="160" spans="1:9" ht="26.4" x14ac:dyDescent="0.65">
      <c r="C160" s="92" t="str">
        <f>合計データ2!A1</f>
        <v>売上　計画ｘ見込み（1900年1月）</v>
      </c>
      <c r="D160" s="92"/>
      <c r="E160" s="92"/>
      <c r="F160" s="92"/>
      <c r="G160" s="92"/>
    </row>
    <row r="161" spans="3:7" x14ac:dyDescent="0.45">
      <c r="C161" s="22"/>
      <c r="D161" s="22"/>
      <c r="E161" s="22"/>
      <c r="F161" s="22"/>
      <c r="G161" s="22"/>
    </row>
    <row r="208" spans="1:9" x14ac:dyDescent="0.45">
      <c r="A208" s="88">
        <f>$A$52</f>
        <v>0</v>
      </c>
      <c r="B208" s="88"/>
      <c r="C208" s="88"/>
      <c r="D208" s="88"/>
      <c r="E208" s="88"/>
      <c r="F208" s="88"/>
      <c r="G208" s="88"/>
      <c r="H208" s="88"/>
      <c r="I208" s="88"/>
    </row>
    <row r="209" spans="1:9" x14ac:dyDescent="0.45">
      <c r="A209" s="88"/>
      <c r="B209" s="88"/>
      <c r="C209" s="88"/>
      <c r="D209" s="88"/>
      <c r="E209" s="88"/>
      <c r="F209" s="88"/>
      <c r="G209" s="88"/>
      <c r="H209" s="88"/>
      <c r="I209" s="88"/>
    </row>
    <row r="210" spans="1:9" x14ac:dyDescent="0.45">
      <c r="A210" s="88"/>
      <c r="B210" s="88"/>
      <c r="C210" s="88"/>
      <c r="D210" s="88"/>
      <c r="E210" s="88"/>
      <c r="F210" s="88"/>
      <c r="G210" s="88"/>
      <c r="H210" s="88"/>
      <c r="I210" s="88"/>
    </row>
    <row r="212" spans="1:9" ht="26.4" x14ac:dyDescent="0.65">
      <c r="C212" s="89" t="str">
        <f>合計データ2!H1</f>
        <v>稼働率　計画ｘ見込み（1900年1月）</v>
      </c>
      <c r="D212" s="92"/>
      <c r="E212" s="92"/>
      <c r="F212" s="92"/>
      <c r="G212" s="92"/>
    </row>
    <row r="260" spans="1:9" x14ac:dyDescent="0.45">
      <c r="A260" s="88">
        <f>$A$52</f>
        <v>0</v>
      </c>
      <c r="B260" s="88"/>
      <c r="C260" s="88"/>
      <c r="D260" s="88"/>
      <c r="E260" s="88"/>
      <c r="F260" s="88"/>
      <c r="G260" s="88"/>
      <c r="H260" s="88"/>
      <c r="I260" s="88"/>
    </row>
    <row r="261" spans="1:9" x14ac:dyDescent="0.45">
      <c r="A261" s="88"/>
      <c r="B261" s="88"/>
      <c r="C261" s="88"/>
      <c r="D261" s="88"/>
      <c r="E261" s="88"/>
      <c r="F261" s="88"/>
      <c r="G261" s="88"/>
      <c r="H261" s="88"/>
      <c r="I261" s="88"/>
    </row>
    <row r="262" spans="1:9" x14ac:dyDescent="0.45">
      <c r="A262" s="88"/>
      <c r="B262" s="88"/>
      <c r="C262" s="88"/>
      <c r="D262" s="88"/>
      <c r="E262" s="88"/>
      <c r="F262" s="88"/>
      <c r="G262" s="88"/>
      <c r="H262" s="88"/>
      <c r="I262" s="88"/>
    </row>
    <row r="264" spans="1:9" ht="26.4" x14ac:dyDescent="0.65">
      <c r="C264" s="92" t="str">
        <f>合計データ3!A1</f>
        <v>売上　計画ｘ見込み（1900年1月）</v>
      </c>
      <c r="D264" s="90"/>
      <c r="E264" s="90"/>
      <c r="F264" s="90"/>
      <c r="G264" s="90"/>
    </row>
    <row r="312" spans="1:9" x14ac:dyDescent="0.45">
      <c r="A312" s="88">
        <f>$A$52</f>
        <v>0</v>
      </c>
      <c r="B312" s="88"/>
      <c r="C312" s="88"/>
      <c r="D312" s="88"/>
      <c r="E312" s="88"/>
      <c r="F312" s="88"/>
      <c r="G312" s="88"/>
      <c r="H312" s="88"/>
      <c r="I312" s="88"/>
    </row>
    <row r="313" spans="1:9" x14ac:dyDescent="0.45">
      <c r="A313" s="88"/>
      <c r="B313" s="88"/>
      <c r="C313" s="88"/>
      <c r="D313" s="88"/>
      <c r="E313" s="88"/>
      <c r="F313" s="88"/>
      <c r="G313" s="88"/>
      <c r="H313" s="88"/>
      <c r="I313" s="88"/>
    </row>
    <row r="314" spans="1:9" x14ac:dyDescent="0.45">
      <c r="A314" s="88"/>
      <c r="B314" s="88"/>
      <c r="C314" s="88"/>
      <c r="D314" s="88"/>
      <c r="E314" s="88"/>
      <c r="F314" s="88"/>
      <c r="G314" s="88"/>
      <c r="H314" s="88"/>
      <c r="I314" s="88"/>
    </row>
    <row r="316" spans="1:9" ht="25.2" customHeight="1" x14ac:dyDescent="0.65">
      <c r="C316" s="89" t="str">
        <f>合計データ3!H1</f>
        <v>稼働率　計画ｘ見込み（1900年1月）</v>
      </c>
      <c r="D316" s="90"/>
      <c r="E316" s="90"/>
      <c r="F316" s="90"/>
      <c r="G316" s="90"/>
    </row>
    <row r="317" spans="1:9" ht="14.4" customHeight="1" x14ac:dyDescent="0.45"/>
    <row r="365" spans="1:9" x14ac:dyDescent="0.45">
      <c r="A365" s="88">
        <f>$A$52</f>
        <v>0</v>
      </c>
      <c r="B365" s="88"/>
      <c r="C365" s="88"/>
      <c r="D365" s="88"/>
      <c r="E365" s="88"/>
      <c r="F365" s="88"/>
      <c r="G365" s="88"/>
      <c r="H365" s="88"/>
      <c r="I365" s="88"/>
    </row>
    <row r="366" spans="1:9" x14ac:dyDescent="0.45">
      <c r="A366" s="88"/>
      <c r="B366" s="88"/>
      <c r="C366" s="88"/>
      <c r="D366" s="88"/>
      <c r="E366" s="88"/>
      <c r="F366" s="88"/>
      <c r="G366" s="88"/>
      <c r="H366" s="88"/>
      <c r="I366" s="88"/>
    </row>
    <row r="367" spans="1:9" x14ac:dyDescent="0.45">
      <c r="A367" s="88"/>
      <c r="B367" s="88"/>
      <c r="C367" s="88"/>
      <c r="D367" s="88"/>
      <c r="E367" s="88"/>
      <c r="F367" s="88"/>
      <c r="G367" s="88"/>
      <c r="H367" s="88"/>
      <c r="I367" s="88"/>
    </row>
  </sheetData>
  <mergeCells count="14">
    <mergeCell ref="A365:I367"/>
    <mergeCell ref="A156:I158"/>
    <mergeCell ref="C316:G316"/>
    <mergeCell ref="A1:I1"/>
    <mergeCell ref="A52:I54"/>
    <mergeCell ref="A208:I210"/>
    <mergeCell ref="A312:I314"/>
    <mergeCell ref="C212:G212"/>
    <mergeCell ref="C108:G108"/>
    <mergeCell ref="C160:G160"/>
    <mergeCell ref="C264:G264"/>
    <mergeCell ref="C56:G56"/>
    <mergeCell ref="A104:I106"/>
    <mergeCell ref="A260:I262"/>
  </mergeCells>
  <phoneticPr fontId="2"/>
  <conditionalFormatting sqref="C48:H48">
    <cfRule type="cellIs" dxfId="19" priority="3" operator="lessThan">
      <formula>0</formula>
    </cfRule>
    <cfRule type="cellIs" dxfId="18" priority="4" operator="greaterThan">
      <formula>0</formula>
    </cfRule>
  </conditionalFormatting>
  <conditionalFormatting sqref="C50:H51">
    <cfRule type="cellIs" dxfId="17" priority="1" operator="lessThan">
      <formula>0</formula>
    </cfRule>
    <cfRule type="cellIs" dxfId="16" priority="2" operator="greaterThan">
      <formula>0</formula>
    </cfRule>
  </conditionalFormatting>
  <pageMargins left="0.78740157480314965" right="0.78740157480314965" top="0.28999999999999998" bottom="0.39370078740157483" header="0.63" footer="0.28999999999999998"/>
  <pageSetup paperSize="9" scale="81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6" manualBreakCount="6">
    <brk id="54" max="16383" man="1"/>
    <brk id="106" max="16383" man="1"/>
    <brk id="158" max="16383" man="1"/>
    <brk id="210" max="16383" man="1"/>
    <brk id="262" max="16383" man="1"/>
    <brk id="314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41"/>
  <sheetViews>
    <sheetView showGridLines="0" zoomScaleNormal="100" zoomScaleSheetLayoutView="80" zoomScalePageLayoutView="90" workbookViewId="0"/>
  </sheetViews>
  <sheetFormatPr defaultColWidth="11.5546875" defaultRowHeight="17.399999999999999" x14ac:dyDescent="0.45"/>
  <cols>
    <col min="1" max="1" width="13.77734375" style="1" customWidth="1"/>
    <col min="2" max="4" width="13.77734375" style="2" customWidth="1"/>
    <col min="5" max="7" width="13.77734375" style="1" customWidth="1"/>
    <col min="8" max="8" width="13.77734375" style="2" customWidth="1"/>
    <col min="9" max="9" width="13.77734375" style="1" customWidth="1"/>
    <col min="10" max="10" width="13.77734375" style="2" customWidth="1"/>
    <col min="11" max="11" width="14.44140625" style="2" customWidth="1"/>
    <col min="12" max="16" width="13.77734375" style="2" customWidth="1"/>
    <col min="17" max="20" width="13.77734375" style="1" customWidth="1"/>
    <col min="21" max="21" width="9.109375" style="1" customWidth="1"/>
    <col min="22" max="27" width="9.88671875" style="1" customWidth="1"/>
    <col min="28" max="29" width="11.5546875" style="1"/>
    <col min="30" max="31" width="51.88671875" style="1" customWidth="1"/>
    <col min="32" max="16384" width="11.5546875" style="1"/>
  </cols>
  <sheetData>
    <row r="1" spans="1:31" s="84" customFormat="1" ht="20.399999999999999" x14ac:dyDescent="0.45">
      <c r="A1" s="79" t="s">
        <v>0</v>
      </c>
      <c r="B1" s="63" t="s">
        <v>1</v>
      </c>
      <c r="C1" s="78" t="s">
        <v>31</v>
      </c>
      <c r="D1" s="77" t="s">
        <v>37</v>
      </c>
      <c r="E1" s="65" t="s">
        <v>2</v>
      </c>
      <c r="F1" s="76" t="s">
        <v>30</v>
      </c>
      <c r="G1" s="75" t="s">
        <v>38</v>
      </c>
      <c r="H1" s="79" t="s">
        <v>3</v>
      </c>
      <c r="I1" s="80" t="s">
        <v>26</v>
      </c>
      <c r="J1" s="79" t="s">
        <v>16</v>
      </c>
      <c r="K1" s="80" t="s">
        <v>27</v>
      </c>
      <c r="L1" s="80" t="s">
        <v>15</v>
      </c>
      <c r="M1" s="80" t="s">
        <v>39</v>
      </c>
      <c r="N1" s="80" t="s">
        <v>28</v>
      </c>
      <c r="O1" s="81" t="s">
        <v>4</v>
      </c>
      <c r="P1" s="82" t="s">
        <v>33</v>
      </c>
      <c r="Q1" s="83" t="s">
        <v>36</v>
      </c>
      <c r="R1" s="82" t="s">
        <v>5</v>
      </c>
      <c r="S1" s="82" t="s">
        <v>7</v>
      </c>
      <c r="T1" s="82" t="s">
        <v>6</v>
      </c>
      <c r="V1" s="85"/>
      <c r="W1" s="86" t="s">
        <v>17</v>
      </c>
      <c r="X1" s="86" t="s">
        <v>18</v>
      </c>
      <c r="Y1" s="86" t="s">
        <v>19</v>
      </c>
      <c r="Z1" s="86" t="s">
        <v>20</v>
      </c>
      <c r="AA1" s="86" t="s">
        <v>21</v>
      </c>
      <c r="AB1" s="86" t="s">
        <v>22</v>
      </c>
      <c r="AD1" s="87"/>
      <c r="AE1" s="87"/>
    </row>
    <row r="2" spans="1:31" ht="18" x14ac:dyDescent="0.45">
      <c r="A2" s="47"/>
      <c r="B2" s="48"/>
      <c r="C2" s="48"/>
      <c r="D2" s="48"/>
      <c r="E2" s="49"/>
      <c r="F2" s="49"/>
      <c r="G2" s="49"/>
      <c r="H2" s="47"/>
      <c r="I2" s="48"/>
      <c r="J2" s="49"/>
      <c r="K2" s="48"/>
      <c r="L2" s="48"/>
      <c r="M2" s="48"/>
      <c r="N2" s="48"/>
      <c r="O2" s="44">
        <f t="shared" ref="O2:Q7" si="0">B2/1000000</f>
        <v>0</v>
      </c>
      <c r="P2" s="6">
        <f t="shared" si="0"/>
        <v>0</v>
      </c>
      <c r="Q2" s="6">
        <f t="shared" si="0"/>
        <v>0</v>
      </c>
      <c r="R2" s="3" t="e">
        <f t="shared" ref="R2:R7" si="1">C2/B2</f>
        <v>#DIV/0!</v>
      </c>
      <c r="S2" s="3" t="e">
        <f t="shared" ref="S2:S7" si="2">F2/E2</f>
        <v>#DIV/0!</v>
      </c>
      <c r="T2" s="4">
        <f t="shared" ref="T2:T7" si="3">F2-J2</f>
        <v>0</v>
      </c>
      <c r="V2" s="16" t="s">
        <v>10</v>
      </c>
      <c r="W2" s="19"/>
      <c r="X2" s="19"/>
      <c r="Y2" s="19"/>
      <c r="Z2" s="19"/>
      <c r="AA2" s="19"/>
      <c r="AB2" s="19"/>
    </row>
    <row r="3" spans="1:31" x14ac:dyDescent="0.45">
      <c r="A3" s="42"/>
      <c r="B3" s="45"/>
      <c r="C3" s="45"/>
      <c r="D3" s="45"/>
      <c r="E3" s="46"/>
      <c r="F3" s="46"/>
      <c r="G3" s="46"/>
      <c r="H3" s="42"/>
      <c r="I3" s="45"/>
      <c r="J3" s="46"/>
      <c r="K3" s="45"/>
      <c r="L3" s="45"/>
      <c r="M3" s="45"/>
      <c r="N3" s="45"/>
      <c r="O3" s="44">
        <f t="shared" si="0"/>
        <v>0</v>
      </c>
      <c r="P3" s="6">
        <f t="shared" si="0"/>
        <v>0</v>
      </c>
      <c r="Q3" s="6">
        <f t="shared" si="0"/>
        <v>0</v>
      </c>
      <c r="R3" s="3" t="e">
        <f t="shared" si="1"/>
        <v>#DIV/0!</v>
      </c>
      <c r="S3" s="3" t="e">
        <f t="shared" si="2"/>
        <v>#DIV/0!</v>
      </c>
      <c r="T3" s="4">
        <f t="shared" si="3"/>
        <v>0</v>
      </c>
      <c r="V3" s="13" t="s">
        <v>23</v>
      </c>
      <c r="W3" s="14">
        <f t="shared" ref="W3:AB3" si="4">W2-W7</f>
        <v>0</v>
      </c>
      <c r="X3" s="14">
        <f t="shared" si="4"/>
        <v>0</v>
      </c>
      <c r="Y3" s="14">
        <f t="shared" si="4"/>
        <v>0</v>
      </c>
      <c r="Z3" s="14">
        <f t="shared" si="4"/>
        <v>0</v>
      </c>
      <c r="AA3" s="14">
        <f t="shared" si="4"/>
        <v>0</v>
      </c>
      <c r="AB3" s="14">
        <f t="shared" si="4"/>
        <v>0</v>
      </c>
    </row>
    <row r="4" spans="1:31" ht="18" x14ac:dyDescent="0.45">
      <c r="A4" s="47"/>
      <c r="B4" s="48"/>
      <c r="C4" s="48"/>
      <c r="D4" s="48"/>
      <c r="E4" s="49"/>
      <c r="F4" s="49"/>
      <c r="G4" s="49"/>
      <c r="H4" s="47"/>
      <c r="I4" s="48"/>
      <c r="J4" s="49"/>
      <c r="K4" s="48"/>
      <c r="L4" s="48"/>
      <c r="M4" s="48"/>
      <c r="N4" s="48"/>
      <c r="O4" s="44">
        <f t="shared" si="0"/>
        <v>0</v>
      </c>
      <c r="P4" s="6">
        <f t="shared" si="0"/>
        <v>0</v>
      </c>
      <c r="Q4" s="6">
        <f t="shared" si="0"/>
        <v>0</v>
      </c>
      <c r="R4" s="3" t="e">
        <f t="shared" si="1"/>
        <v>#DIV/0!</v>
      </c>
      <c r="S4" s="3" t="e">
        <f t="shared" si="2"/>
        <v>#DIV/0!</v>
      </c>
      <c r="T4" s="4">
        <f t="shared" si="3"/>
        <v>0</v>
      </c>
      <c r="V4" s="16" t="s">
        <v>11</v>
      </c>
      <c r="W4" s="19"/>
      <c r="X4" s="19"/>
      <c r="Y4" s="19"/>
      <c r="Z4" s="19"/>
      <c r="AA4" s="19"/>
      <c r="AB4" s="19"/>
    </row>
    <row r="5" spans="1:31" x14ac:dyDescent="0.45">
      <c r="A5" s="42"/>
      <c r="B5" s="45"/>
      <c r="C5" s="45"/>
      <c r="D5" s="45"/>
      <c r="E5" s="46"/>
      <c r="F5" s="46"/>
      <c r="G5" s="46"/>
      <c r="H5" s="42"/>
      <c r="I5" s="45"/>
      <c r="J5" s="46"/>
      <c r="K5" s="45"/>
      <c r="L5" s="45"/>
      <c r="M5" s="45"/>
      <c r="N5" s="45"/>
      <c r="O5" s="44">
        <f t="shared" si="0"/>
        <v>0</v>
      </c>
      <c r="P5" s="6">
        <f t="shared" si="0"/>
        <v>0</v>
      </c>
      <c r="Q5" s="6">
        <f t="shared" si="0"/>
        <v>0</v>
      </c>
      <c r="R5" s="3" t="e">
        <f t="shared" si="1"/>
        <v>#DIV/0!</v>
      </c>
      <c r="S5" s="3" t="e">
        <f t="shared" si="2"/>
        <v>#DIV/0!</v>
      </c>
      <c r="T5" s="4">
        <f t="shared" si="3"/>
        <v>0</v>
      </c>
      <c r="V5" s="15" t="s">
        <v>23</v>
      </c>
      <c r="W5" s="14">
        <f t="shared" ref="W5:AB5" si="5">W4-W8</f>
        <v>0</v>
      </c>
      <c r="X5" s="14">
        <f t="shared" si="5"/>
        <v>0</v>
      </c>
      <c r="Y5" s="14">
        <f t="shared" si="5"/>
        <v>0</v>
      </c>
      <c r="Z5" s="14">
        <f t="shared" si="5"/>
        <v>0</v>
      </c>
      <c r="AA5" s="14">
        <f t="shared" si="5"/>
        <v>0</v>
      </c>
      <c r="AB5" s="14">
        <f t="shared" si="5"/>
        <v>0</v>
      </c>
    </row>
    <row r="6" spans="1:31" x14ac:dyDescent="0.45">
      <c r="A6" s="47"/>
      <c r="B6" s="48"/>
      <c r="C6" s="48"/>
      <c r="D6" s="48"/>
      <c r="E6" s="49"/>
      <c r="F6" s="49"/>
      <c r="G6" s="49"/>
      <c r="H6" s="47"/>
      <c r="I6" s="48"/>
      <c r="J6" s="49"/>
      <c r="K6" s="48"/>
      <c r="L6" s="48"/>
      <c r="M6" s="48"/>
      <c r="N6" s="48"/>
      <c r="O6" s="44">
        <f t="shared" si="0"/>
        <v>0</v>
      </c>
      <c r="P6" s="6">
        <f t="shared" si="0"/>
        <v>0</v>
      </c>
      <c r="Q6" s="6">
        <f t="shared" si="0"/>
        <v>0</v>
      </c>
      <c r="R6" s="3" t="e">
        <f t="shared" si="1"/>
        <v>#DIV/0!</v>
      </c>
      <c r="S6" s="3" t="e">
        <f t="shared" si="2"/>
        <v>#DIV/0!</v>
      </c>
      <c r="T6" s="4">
        <f t="shared" si="3"/>
        <v>0</v>
      </c>
    </row>
    <row r="7" spans="1:31" x14ac:dyDescent="0.45">
      <c r="A7" s="42"/>
      <c r="B7" s="45"/>
      <c r="C7" s="45"/>
      <c r="D7" s="45"/>
      <c r="E7" s="46"/>
      <c r="F7" s="46"/>
      <c r="G7" s="46"/>
      <c r="H7" s="42"/>
      <c r="I7" s="45"/>
      <c r="J7" s="46"/>
      <c r="K7" s="45"/>
      <c r="L7" s="45"/>
      <c r="M7" s="45"/>
      <c r="N7" s="45"/>
      <c r="O7" s="44">
        <f t="shared" si="0"/>
        <v>0</v>
      </c>
      <c r="P7" s="6">
        <f t="shared" si="0"/>
        <v>0</v>
      </c>
      <c r="Q7" s="6">
        <f t="shared" si="0"/>
        <v>0</v>
      </c>
      <c r="R7" s="3" t="e">
        <f t="shared" si="1"/>
        <v>#DIV/0!</v>
      </c>
      <c r="S7" s="3" t="e">
        <f t="shared" si="2"/>
        <v>#DIV/0!</v>
      </c>
      <c r="T7" s="4">
        <f t="shared" si="3"/>
        <v>0</v>
      </c>
      <c r="V7" s="1" t="s">
        <v>24</v>
      </c>
      <c r="W7" s="9"/>
      <c r="X7" s="9"/>
      <c r="Y7" s="9"/>
      <c r="Z7" s="9"/>
      <c r="AA7" s="9"/>
      <c r="AB7" s="9"/>
    </row>
    <row r="8" spans="1:31" x14ac:dyDescent="0.45">
      <c r="A8" s="1" t="s">
        <v>35</v>
      </c>
      <c r="H8" s="1"/>
      <c r="I8" s="2"/>
      <c r="J8" s="1"/>
      <c r="Q8" s="2"/>
      <c r="V8" s="1" t="s">
        <v>25</v>
      </c>
      <c r="W8" s="9"/>
      <c r="X8" s="9"/>
      <c r="Y8" s="9"/>
      <c r="Z8" s="9"/>
      <c r="AA8" s="9"/>
      <c r="AB8" s="9"/>
    </row>
    <row r="9" spans="1:31" ht="26.4" x14ac:dyDescent="0.65">
      <c r="A9" s="93" t="str">
        <f>"売上　計画ｘ見込み（" &amp; TEXT(B11, "yyyy年m月") &amp; "）"</f>
        <v>売上　計画ｘ見込み（1900年1月）</v>
      </c>
      <c r="B9" s="93"/>
      <c r="C9" s="93"/>
      <c r="D9" s="94"/>
      <c r="G9" s="2"/>
      <c r="H9" s="93" t="str">
        <f>"稼働率　計画ｘ見込み（" &amp; TEXT(B11, "yyyy年m月") &amp; "）"</f>
        <v>稼働率　計画ｘ見込み（1900年1月）</v>
      </c>
      <c r="I9" s="93"/>
      <c r="J9" s="93"/>
      <c r="K9" s="93"/>
      <c r="O9" s="1"/>
      <c r="P9" s="1"/>
    </row>
    <row r="10" spans="1:31" ht="25.05" customHeight="1" x14ac:dyDescent="0.45">
      <c r="A10" s="25" t="s">
        <v>12</v>
      </c>
      <c r="B10" s="23" t="s">
        <v>29</v>
      </c>
      <c r="C10" s="34" t="s">
        <v>1</v>
      </c>
      <c r="D10" s="52" t="s">
        <v>31</v>
      </c>
      <c r="E10" s="35" t="s">
        <v>13</v>
      </c>
      <c r="F10" s="64" t="s">
        <v>37</v>
      </c>
      <c r="G10" s="24"/>
      <c r="H10" s="26" t="s">
        <v>12</v>
      </c>
      <c r="I10" s="27" t="s">
        <v>29</v>
      </c>
      <c r="J10" s="28" t="s">
        <v>2</v>
      </c>
      <c r="K10" s="53" t="s">
        <v>30</v>
      </c>
      <c r="L10" s="36" t="s">
        <v>14</v>
      </c>
      <c r="M10" s="74" t="s">
        <v>38</v>
      </c>
      <c r="O10" s="5" t="s">
        <v>9</v>
      </c>
      <c r="P10" s="5" t="s">
        <v>32</v>
      </c>
      <c r="Q10" s="5" t="s">
        <v>8</v>
      </c>
      <c r="R10" s="66" t="s">
        <v>36</v>
      </c>
    </row>
    <row r="11" spans="1:31" x14ac:dyDescent="0.45">
      <c r="A11" s="59"/>
      <c r="B11" s="55"/>
      <c r="C11" s="54"/>
      <c r="D11" s="50"/>
      <c r="E11" s="60"/>
      <c r="F11" s="51"/>
      <c r="G11" s="8"/>
      <c r="H11" s="54"/>
      <c r="I11" s="55"/>
      <c r="J11" s="56"/>
      <c r="K11" s="57"/>
      <c r="L11" s="61"/>
      <c r="M11" s="70"/>
      <c r="N11" s="8"/>
      <c r="O11" s="10" t="e">
        <f>IF($A11="",NA(),$C11/10000)</f>
        <v>#N/A</v>
      </c>
      <c r="P11" s="10" t="e">
        <f>IF($A11="",NA(),$D11/10000)</f>
        <v>#N/A</v>
      </c>
      <c r="Q11" s="10" t="e">
        <f>IF($A11="",NA(),$E11/10000)</f>
        <v>#N/A</v>
      </c>
      <c r="R11" s="10" t="str">
        <f>IF(OR(F11="",F11=0),"",(D11+F11)/10000)</f>
        <v/>
      </c>
    </row>
    <row r="12" spans="1:31" x14ac:dyDescent="0.45">
      <c r="A12" s="29"/>
      <c r="B12" s="30"/>
      <c r="C12" s="39"/>
      <c r="D12" s="38"/>
      <c r="E12" s="40"/>
      <c r="F12" s="41"/>
      <c r="H12" s="29"/>
      <c r="I12" s="30"/>
      <c r="J12" s="32"/>
      <c r="K12" s="37"/>
      <c r="L12" s="33"/>
      <c r="M12" s="71"/>
      <c r="N12" s="7"/>
      <c r="O12" s="10" t="e">
        <f t="shared" ref="O12:O40" si="6">IF($A12="",NA(),$C12/10000)</f>
        <v>#N/A</v>
      </c>
      <c r="P12" s="10" t="e">
        <f t="shared" ref="P12:P40" si="7">IF($A12="",NA(),$D12/10000)</f>
        <v>#N/A</v>
      </c>
      <c r="Q12" s="10" t="e">
        <f t="shared" ref="Q12:Q40" si="8">IF($A12="",NA(),$E12/10000)</f>
        <v>#N/A</v>
      </c>
      <c r="R12" s="10" t="str">
        <f t="shared" ref="R12:R38" si="9">IF(OR(F12="",F12=0),"",(D12+F12)/10000)</f>
        <v/>
      </c>
    </row>
    <row r="13" spans="1:31" x14ac:dyDescent="0.45">
      <c r="A13" s="59"/>
      <c r="B13" s="55"/>
      <c r="C13" s="54"/>
      <c r="D13" s="50"/>
      <c r="E13" s="60"/>
      <c r="F13" s="51"/>
      <c r="G13" s="8"/>
      <c r="H13" s="54"/>
      <c r="I13" s="55"/>
      <c r="J13" s="56"/>
      <c r="K13" s="57"/>
      <c r="L13" s="61"/>
      <c r="M13" s="58"/>
      <c r="N13" s="7"/>
      <c r="O13" s="10" t="e">
        <f t="shared" si="6"/>
        <v>#N/A</v>
      </c>
      <c r="P13" s="10" t="e">
        <f t="shared" si="7"/>
        <v>#N/A</v>
      </c>
      <c r="Q13" s="10" t="e">
        <f t="shared" si="8"/>
        <v>#N/A</v>
      </c>
      <c r="R13" s="10" t="str">
        <f t="shared" si="9"/>
        <v/>
      </c>
    </row>
    <row r="14" spans="1:31" x14ac:dyDescent="0.45">
      <c r="A14" s="29"/>
      <c r="B14" s="30"/>
      <c r="C14" s="39"/>
      <c r="D14" s="38"/>
      <c r="E14" s="40"/>
      <c r="F14" s="41"/>
      <c r="H14" s="29"/>
      <c r="I14" s="30"/>
      <c r="J14" s="32"/>
      <c r="K14" s="37"/>
      <c r="L14" s="33"/>
      <c r="M14" s="71"/>
      <c r="N14" s="7"/>
      <c r="O14" s="10" t="e">
        <f t="shared" si="6"/>
        <v>#N/A</v>
      </c>
      <c r="P14" s="10" t="e">
        <f t="shared" si="7"/>
        <v>#N/A</v>
      </c>
      <c r="Q14" s="10" t="e">
        <f t="shared" si="8"/>
        <v>#N/A</v>
      </c>
      <c r="R14" s="10" t="str">
        <f t="shared" si="9"/>
        <v/>
      </c>
    </row>
    <row r="15" spans="1:31" x14ac:dyDescent="0.45">
      <c r="A15" s="59"/>
      <c r="B15" s="55"/>
      <c r="C15" s="54"/>
      <c r="D15" s="50"/>
      <c r="E15" s="60"/>
      <c r="F15" s="51"/>
      <c r="G15" s="8"/>
      <c r="H15" s="54"/>
      <c r="I15" s="55"/>
      <c r="J15" s="56"/>
      <c r="K15" s="57"/>
      <c r="L15" s="61"/>
      <c r="M15" s="70"/>
      <c r="N15"/>
      <c r="O15" s="10" t="e">
        <f t="shared" si="6"/>
        <v>#N/A</v>
      </c>
      <c r="P15" s="10" t="e">
        <f t="shared" si="7"/>
        <v>#N/A</v>
      </c>
      <c r="Q15" s="10" t="e">
        <f t="shared" si="8"/>
        <v>#N/A</v>
      </c>
      <c r="R15" s="10" t="str">
        <f t="shared" si="9"/>
        <v/>
      </c>
    </row>
    <row r="16" spans="1:31" x14ac:dyDescent="0.45">
      <c r="A16" s="29"/>
      <c r="B16" s="30"/>
      <c r="C16" s="39"/>
      <c r="D16" s="38"/>
      <c r="E16" s="40"/>
      <c r="F16" s="41"/>
      <c r="H16" s="29"/>
      <c r="I16" s="30"/>
      <c r="J16" s="32"/>
      <c r="K16" s="37"/>
      <c r="L16" s="33"/>
      <c r="M16" s="71"/>
      <c r="N16"/>
      <c r="O16" s="10" t="e">
        <f t="shared" si="6"/>
        <v>#N/A</v>
      </c>
      <c r="P16" s="10" t="e">
        <f t="shared" si="7"/>
        <v>#N/A</v>
      </c>
      <c r="Q16" s="10" t="e">
        <f t="shared" si="8"/>
        <v>#N/A</v>
      </c>
      <c r="R16" s="10" t="str">
        <f t="shared" si="9"/>
        <v/>
      </c>
    </row>
    <row r="17" spans="1:18" x14ac:dyDescent="0.45">
      <c r="A17" s="59"/>
      <c r="B17" s="55"/>
      <c r="C17" s="54"/>
      <c r="D17" s="50"/>
      <c r="E17" s="60"/>
      <c r="F17" s="51"/>
      <c r="G17" s="8"/>
      <c r="H17" s="54"/>
      <c r="I17" s="55"/>
      <c r="J17" s="56"/>
      <c r="K17" s="57"/>
      <c r="L17" s="61"/>
      <c r="M17" s="70"/>
      <c r="N17"/>
      <c r="O17" s="10" t="e">
        <f t="shared" si="6"/>
        <v>#N/A</v>
      </c>
      <c r="P17" s="10" t="e">
        <f t="shared" si="7"/>
        <v>#N/A</v>
      </c>
      <c r="Q17" s="10" t="e">
        <f t="shared" si="8"/>
        <v>#N/A</v>
      </c>
      <c r="R17" s="10" t="str">
        <f t="shared" si="9"/>
        <v/>
      </c>
    </row>
    <row r="18" spans="1:18" x14ac:dyDescent="0.45">
      <c r="A18" s="29"/>
      <c r="B18" s="30"/>
      <c r="C18" s="39"/>
      <c r="D18" s="38"/>
      <c r="E18" s="40"/>
      <c r="F18" s="41"/>
      <c r="H18" s="29"/>
      <c r="I18" s="30"/>
      <c r="J18" s="32"/>
      <c r="K18" s="37"/>
      <c r="L18" s="33"/>
      <c r="M18" s="71"/>
      <c r="N18"/>
      <c r="O18" s="10" t="e">
        <f t="shared" si="6"/>
        <v>#N/A</v>
      </c>
      <c r="P18" s="10" t="e">
        <f t="shared" si="7"/>
        <v>#N/A</v>
      </c>
      <c r="Q18" s="10" t="e">
        <f t="shared" si="8"/>
        <v>#N/A</v>
      </c>
      <c r="R18" s="10" t="str">
        <f t="shared" si="9"/>
        <v/>
      </c>
    </row>
    <row r="19" spans="1:18" x14ac:dyDescent="0.45">
      <c r="A19" s="59"/>
      <c r="B19" s="55"/>
      <c r="C19" s="54"/>
      <c r="D19" s="50"/>
      <c r="E19" s="60"/>
      <c r="F19" s="51"/>
      <c r="G19" s="8"/>
      <c r="H19" s="54"/>
      <c r="I19" s="55"/>
      <c r="J19" s="56"/>
      <c r="K19" s="57"/>
      <c r="L19" s="61"/>
      <c r="M19" s="70"/>
      <c r="N19"/>
      <c r="O19" s="10" t="e">
        <f t="shared" si="6"/>
        <v>#N/A</v>
      </c>
      <c r="P19" s="10" t="e">
        <f t="shared" si="7"/>
        <v>#N/A</v>
      </c>
      <c r="Q19" s="10" t="e">
        <f t="shared" si="8"/>
        <v>#N/A</v>
      </c>
      <c r="R19" s="10" t="str">
        <f t="shared" si="9"/>
        <v/>
      </c>
    </row>
    <row r="20" spans="1:18" x14ac:dyDescent="0.45">
      <c r="A20" s="29"/>
      <c r="B20" s="30"/>
      <c r="C20" s="39"/>
      <c r="D20" s="38"/>
      <c r="E20" s="40"/>
      <c r="F20" s="41"/>
      <c r="H20" s="29"/>
      <c r="I20" s="30"/>
      <c r="J20" s="32"/>
      <c r="K20" s="37"/>
      <c r="L20" s="33"/>
      <c r="M20" s="71"/>
      <c r="N20"/>
      <c r="O20" s="10" t="e">
        <f t="shared" si="6"/>
        <v>#N/A</v>
      </c>
      <c r="P20" s="10" t="e">
        <f t="shared" si="7"/>
        <v>#N/A</v>
      </c>
      <c r="Q20" s="10" t="e">
        <f t="shared" si="8"/>
        <v>#N/A</v>
      </c>
      <c r="R20" s="10" t="str">
        <f t="shared" si="9"/>
        <v/>
      </c>
    </row>
    <row r="21" spans="1:18" x14ac:dyDescent="0.45">
      <c r="A21" s="59"/>
      <c r="B21" s="55"/>
      <c r="C21" s="54"/>
      <c r="D21" s="50"/>
      <c r="E21" s="60"/>
      <c r="F21" s="51"/>
      <c r="G21" s="8"/>
      <c r="H21" s="54"/>
      <c r="I21" s="55"/>
      <c r="J21" s="56"/>
      <c r="K21" s="57"/>
      <c r="L21" s="61"/>
      <c r="M21" s="70"/>
      <c r="N21"/>
      <c r="O21" s="10" t="e">
        <f t="shared" si="6"/>
        <v>#N/A</v>
      </c>
      <c r="P21" s="10" t="e">
        <f t="shared" si="7"/>
        <v>#N/A</v>
      </c>
      <c r="Q21" s="10" t="e">
        <f t="shared" si="8"/>
        <v>#N/A</v>
      </c>
      <c r="R21" s="10" t="str">
        <f t="shared" si="9"/>
        <v/>
      </c>
    </row>
    <row r="22" spans="1:18" x14ac:dyDescent="0.45">
      <c r="A22" s="29"/>
      <c r="B22" s="30"/>
      <c r="C22" s="39"/>
      <c r="D22" s="38"/>
      <c r="E22" s="40"/>
      <c r="F22" s="41"/>
      <c r="H22" s="29"/>
      <c r="I22" s="30"/>
      <c r="J22" s="32"/>
      <c r="K22" s="37"/>
      <c r="L22" s="33"/>
      <c r="M22" s="71"/>
      <c r="N22"/>
      <c r="O22" s="10" t="e">
        <f t="shared" si="6"/>
        <v>#N/A</v>
      </c>
      <c r="P22" s="10" t="e">
        <f t="shared" si="7"/>
        <v>#N/A</v>
      </c>
      <c r="Q22" s="10" t="e">
        <f t="shared" si="8"/>
        <v>#N/A</v>
      </c>
      <c r="R22" s="10" t="str">
        <f t="shared" si="9"/>
        <v/>
      </c>
    </row>
    <row r="23" spans="1:18" x14ac:dyDescent="0.45">
      <c r="A23" s="59"/>
      <c r="B23" s="55"/>
      <c r="C23" s="54"/>
      <c r="D23" s="50"/>
      <c r="E23" s="60"/>
      <c r="F23" s="51"/>
      <c r="G23" s="8"/>
      <c r="H23" s="54"/>
      <c r="I23" s="55"/>
      <c r="J23" s="56"/>
      <c r="K23" s="57"/>
      <c r="L23" s="61"/>
      <c r="M23" s="70"/>
      <c r="N23"/>
      <c r="O23" s="10" t="e">
        <f t="shared" si="6"/>
        <v>#N/A</v>
      </c>
      <c r="P23" s="10" t="e">
        <f t="shared" si="7"/>
        <v>#N/A</v>
      </c>
      <c r="Q23" s="10" t="e">
        <f t="shared" si="8"/>
        <v>#N/A</v>
      </c>
      <c r="R23" s="10" t="str">
        <f t="shared" si="9"/>
        <v/>
      </c>
    </row>
    <row r="24" spans="1:18" x14ac:dyDescent="0.45">
      <c r="A24" s="29"/>
      <c r="B24" s="30"/>
      <c r="C24" s="39"/>
      <c r="D24" s="38"/>
      <c r="E24" s="40"/>
      <c r="F24" s="41"/>
      <c r="H24" s="29"/>
      <c r="I24" s="30"/>
      <c r="J24" s="32"/>
      <c r="K24" s="37"/>
      <c r="L24" s="33"/>
      <c r="M24" s="71"/>
      <c r="N24"/>
      <c r="O24" s="10" t="e">
        <f t="shared" si="6"/>
        <v>#N/A</v>
      </c>
      <c r="P24" s="10" t="e">
        <f t="shared" si="7"/>
        <v>#N/A</v>
      </c>
      <c r="Q24" s="10" t="e">
        <f t="shared" si="8"/>
        <v>#N/A</v>
      </c>
      <c r="R24" s="10" t="str">
        <f t="shared" si="9"/>
        <v/>
      </c>
    </row>
    <row r="25" spans="1:18" x14ac:dyDescent="0.45">
      <c r="A25" s="59"/>
      <c r="B25" s="55"/>
      <c r="C25" s="54"/>
      <c r="D25" s="50"/>
      <c r="E25" s="60"/>
      <c r="F25" s="51"/>
      <c r="G25" s="8"/>
      <c r="H25" s="54"/>
      <c r="I25" s="55"/>
      <c r="J25" s="56"/>
      <c r="K25" s="57"/>
      <c r="L25" s="61"/>
      <c r="M25" s="70"/>
      <c r="N25"/>
      <c r="O25" s="10" t="e">
        <f t="shared" si="6"/>
        <v>#N/A</v>
      </c>
      <c r="P25" s="10" t="e">
        <f t="shared" si="7"/>
        <v>#N/A</v>
      </c>
      <c r="Q25" s="10" t="e">
        <f t="shared" si="8"/>
        <v>#N/A</v>
      </c>
      <c r="R25" s="10" t="str">
        <f t="shared" si="9"/>
        <v/>
      </c>
    </row>
    <row r="26" spans="1:18" x14ac:dyDescent="0.45">
      <c r="A26" s="29"/>
      <c r="B26" s="30"/>
      <c r="C26" s="39"/>
      <c r="D26" s="38"/>
      <c r="E26" s="40"/>
      <c r="F26" s="41"/>
      <c r="H26" s="29"/>
      <c r="I26" s="30"/>
      <c r="J26" s="32"/>
      <c r="K26" s="37"/>
      <c r="L26" s="33"/>
      <c r="M26" s="71"/>
      <c r="N26"/>
      <c r="O26" s="10" t="e">
        <f t="shared" si="6"/>
        <v>#N/A</v>
      </c>
      <c r="P26" s="10" t="e">
        <f t="shared" si="7"/>
        <v>#N/A</v>
      </c>
      <c r="Q26" s="10" t="e">
        <f t="shared" si="8"/>
        <v>#N/A</v>
      </c>
      <c r="R26" s="10" t="str">
        <f t="shared" si="9"/>
        <v/>
      </c>
    </row>
    <row r="27" spans="1:18" x14ac:dyDescent="0.45">
      <c r="A27" s="59"/>
      <c r="B27" s="55"/>
      <c r="C27" s="54"/>
      <c r="D27" s="50"/>
      <c r="E27" s="60"/>
      <c r="F27" s="51"/>
      <c r="G27" s="8"/>
      <c r="H27" s="54"/>
      <c r="I27" s="55"/>
      <c r="J27" s="56"/>
      <c r="K27" s="57"/>
      <c r="L27" s="61"/>
      <c r="M27" s="70"/>
      <c r="N27"/>
      <c r="O27" s="10" t="e">
        <f t="shared" si="6"/>
        <v>#N/A</v>
      </c>
      <c r="P27" s="10" t="e">
        <f t="shared" si="7"/>
        <v>#N/A</v>
      </c>
      <c r="Q27" s="10" t="e">
        <f t="shared" si="8"/>
        <v>#N/A</v>
      </c>
      <c r="R27" s="10" t="str">
        <f t="shared" si="9"/>
        <v/>
      </c>
    </row>
    <row r="28" spans="1:18" x14ac:dyDescent="0.45">
      <c r="A28" s="29"/>
      <c r="B28" s="30"/>
      <c r="C28" s="39"/>
      <c r="D28" s="38"/>
      <c r="E28" s="40"/>
      <c r="F28" s="41"/>
      <c r="H28" s="29"/>
      <c r="I28" s="30"/>
      <c r="J28" s="32"/>
      <c r="K28" s="37"/>
      <c r="L28" s="33"/>
      <c r="M28" s="43"/>
      <c r="N28"/>
      <c r="O28" s="10" t="e">
        <f t="shared" si="6"/>
        <v>#N/A</v>
      </c>
      <c r="P28" s="10" t="e">
        <f t="shared" si="7"/>
        <v>#N/A</v>
      </c>
      <c r="Q28" s="10" t="e">
        <f t="shared" si="8"/>
        <v>#N/A</v>
      </c>
      <c r="R28" s="10" t="str">
        <f t="shared" si="9"/>
        <v/>
      </c>
    </row>
    <row r="29" spans="1:18" x14ac:dyDescent="0.45">
      <c r="A29" s="59"/>
      <c r="B29" s="55"/>
      <c r="C29" s="54"/>
      <c r="D29" s="50"/>
      <c r="E29" s="60"/>
      <c r="F29" s="51"/>
      <c r="G29" s="8"/>
      <c r="H29" s="54"/>
      <c r="I29" s="55"/>
      <c r="J29" s="56"/>
      <c r="K29" s="57"/>
      <c r="L29" s="61"/>
      <c r="M29" s="70"/>
      <c r="N29"/>
      <c r="O29" s="10" t="e">
        <f t="shared" si="6"/>
        <v>#N/A</v>
      </c>
      <c r="P29" s="10" t="e">
        <f t="shared" si="7"/>
        <v>#N/A</v>
      </c>
      <c r="Q29" s="10" t="e">
        <f t="shared" si="8"/>
        <v>#N/A</v>
      </c>
      <c r="R29" s="10" t="str">
        <f t="shared" si="9"/>
        <v/>
      </c>
    </row>
    <row r="30" spans="1:18" x14ac:dyDescent="0.45">
      <c r="A30" s="29"/>
      <c r="B30" s="30"/>
      <c r="C30" s="39"/>
      <c r="D30" s="38"/>
      <c r="E30" s="40"/>
      <c r="F30" s="41"/>
      <c r="H30" s="29"/>
      <c r="I30" s="30"/>
      <c r="J30" s="32"/>
      <c r="K30" s="37"/>
      <c r="L30" s="33"/>
      <c r="M30" s="71"/>
      <c r="N30"/>
      <c r="O30" s="10" t="e">
        <f t="shared" si="6"/>
        <v>#N/A</v>
      </c>
      <c r="P30" s="10" t="e">
        <f t="shared" si="7"/>
        <v>#N/A</v>
      </c>
      <c r="Q30" s="10" t="e">
        <f t="shared" si="8"/>
        <v>#N/A</v>
      </c>
      <c r="R30" s="10" t="str">
        <f t="shared" si="9"/>
        <v/>
      </c>
    </row>
    <row r="31" spans="1:18" x14ac:dyDescent="0.45">
      <c r="A31" s="59"/>
      <c r="B31" s="55"/>
      <c r="C31" s="54"/>
      <c r="D31" s="50"/>
      <c r="E31" s="60"/>
      <c r="F31" s="51"/>
      <c r="G31" s="8"/>
      <c r="H31" s="54"/>
      <c r="I31" s="55"/>
      <c r="J31" s="56"/>
      <c r="K31" s="57"/>
      <c r="L31" s="61"/>
      <c r="M31" s="70"/>
      <c r="N31"/>
      <c r="O31" s="10" t="e">
        <f t="shared" si="6"/>
        <v>#N/A</v>
      </c>
      <c r="P31" s="10" t="e">
        <f t="shared" si="7"/>
        <v>#N/A</v>
      </c>
      <c r="Q31" s="10" t="e">
        <f t="shared" si="8"/>
        <v>#N/A</v>
      </c>
      <c r="R31" s="10" t="str">
        <f t="shared" si="9"/>
        <v/>
      </c>
    </row>
    <row r="32" spans="1:18" x14ac:dyDescent="0.45">
      <c r="A32" s="29"/>
      <c r="B32" s="30"/>
      <c r="C32" s="39"/>
      <c r="D32" s="38"/>
      <c r="E32" s="40"/>
      <c r="F32" s="41"/>
      <c r="H32" s="29"/>
      <c r="I32" s="30"/>
      <c r="J32" s="32"/>
      <c r="K32" s="37"/>
      <c r="L32" s="33"/>
      <c r="M32" s="71"/>
      <c r="N32"/>
      <c r="O32" s="10" t="e">
        <f t="shared" si="6"/>
        <v>#N/A</v>
      </c>
      <c r="P32" s="10" t="e">
        <f t="shared" si="7"/>
        <v>#N/A</v>
      </c>
      <c r="Q32" s="10" t="e">
        <f t="shared" si="8"/>
        <v>#N/A</v>
      </c>
      <c r="R32" s="10" t="str">
        <f t="shared" si="9"/>
        <v/>
      </c>
    </row>
    <row r="33" spans="1:18" x14ac:dyDescent="0.45">
      <c r="A33" s="59"/>
      <c r="B33" s="55"/>
      <c r="C33" s="54"/>
      <c r="D33" s="50"/>
      <c r="E33" s="60"/>
      <c r="F33" s="51"/>
      <c r="G33" s="8"/>
      <c r="H33" s="54"/>
      <c r="I33" s="55"/>
      <c r="J33" s="56"/>
      <c r="K33" s="57"/>
      <c r="L33" s="61"/>
      <c r="M33" s="70"/>
      <c r="N33"/>
      <c r="O33" s="10" t="e">
        <f t="shared" si="6"/>
        <v>#N/A</v>
      </c>
      <c r="P33" s="10" t="e">
        <f t="shared" si="7"/>
        <v>#N/A</v>
      </c>
      <c r="Q33" s="10" t="e">
        <f t="shared" si="8"/>
        <v>#N/A</v>
      </c>
      <c r="R33" s="10" t="str">
        <f t="shared" si="9"/>
        <v/>
      </c>
    </row>
    <row r="34" spans="1:18" x14ac:dyDescent="0.45">
      <c r="A34" s="29"/>
      <c r="B34" s="30"/>
      <c r="C34" s="39"/>
      <c r="D34" s="38"/>
      <c r="E34" s="40"/>
      <c r="F34" s="41"/>
      <c r="H34" s="29"/>
      <c r="I34" s="30"/>
      <c r="J34" s="32"/>
      <c r="K34" s="37"/>
      <c r="L34" s="33"/>
      <c r="M34" s="71"/>
      <c r="N34"/>
      <c r="O34" s="10" t="e">
        <f t="shared" si="6"/>
        <v>#N/A</v>
      </c>
      <c r="P34" s="10" t="e">
        <f t="shared" si="7"/>
        <v>#N/A</v>
      </c>
      <c r="Q34" s="10" t="e">
        <f t="shared" si="8"/>
        <v>#N/A</v>
      </c>
      <c r="R34" s="10" t="str">
        <f t="shared" si="9"/>
        <v/>
      </c>
    </row>
    <row r="35" spans="1:18" x14ac:dyDescent="0.45">
      <c r="A35" s="59"/>
      <c r="B35" s="55"/>
      <c r="C35" s="54"/>
      <c r="D35" s="50"/>
      <c r="E35" s="60"/>
      <c r="F35" s="51"/>
      <c r="G35" s="8"/>
      <c r="H35" s="54"/>
      <c r="I35" s="55"/>
      <c r="J35" s="56"/>
      <c r="K35" s="57"/>
      <c r="L35" s="61"/>
      <c r="M35" s="70"/>
      <c r="N35"/>
      <c r="O35" s="10" t="e">
        <f t="shared" si="6"/>
        <v>#N/A</v>
      </c>
      <c r="P35" s="10" t="e">
        <f t="shared" si="7"/>
        <v>#N/A</v>
      </c>
      <c r="Q35" s="10" t="e">
        <f t="shared" si="8"/>
        <v>#N/A</v>
      </c>
      <c r="R35" s="10" t="str">
        <f t="shared" si="9"/>
        <v/>
      </c>
    </row>
    <row r="36" spans="1:18" x14ac:dyDescent="0.45">
      <c r="A36" s="29"/>
      <c r="B36" s="30"/>
      <c r="C36" s="39"/>
      <c r="D36" s="38"/>
      <c r="E36" s="40"/>
      <c r="F36" s="41"/>
      <c r="H36" s="29"/>
      <c r="I36" s="30"/>
      <c r="J36" s="32"/>
      <c r="K36" s="37"/>
      <c r="L36" s="33"/>
      <c r="M36" s="71"/>
      <c r="N36"/>
      <c r="O36" s="10" t="e">
        <f t="shared" si="6"/>
        <v>#N/A</v>
      </c>
      <c r="P36" s="10" t="e">
        <f t="shared" si="7"/>
        <v>#N/A</v>
      </c>
      <c r="Q36" s="10" t="e">
        <f t="shared" si="8"/>
        <v>#N/A</v>
      </c>
      <c r="R36" s="10" t="str">
        <f t="shared" si="9"/>
        <v/>
      </c>
    </row>
    <row r="37" spans="1:18" x14ac:dyDescent="0.45">
      <c r="A37" s="59"/>
      <c r="B37" s="55"/>
      <c r="C37" s="54"/>
      <c r="D37" s="50"/>
      <c r="E37" s="60"/>
      <c r="F37" s="51"/>
      <c r="G37" s="8"/>
      <c r="H37" s="54"/>
      <c r="I37" s="55"/>
      <c r="J37" s="56"/>
      <c r="K37" s="57"/>
      <c r="L37" s="61"/>
      <c r="M37" s="70"/>
      <c r="N37"/>
      <c r="O37" s="10" t="e">
        <f t="shared" si="6"/>
        <v>#N/A</v>
      </c>
      <c r="P37" s="10" t="e">
        <f t="shared" si="7"/>
        <v>#N/A</v>
      </c>
      <c r="Q37" s="10" t="e">
        <f t="shared" si="8"/>
        <v>#N/A</v>
      </c>
      <c r="R37" s="10" t="str">
        <f t="shared" si="9"/>
        <v/>
      </c>
    </row>
    <row r="38" spans="1:18" x14ac:dyDescent="0.45">
      <c r="A38" s="29"/>
      <c r="B38" s="30"/>
      <c r="C38" s="39"/>
      <c r="D38" s="38"/>
      <c r="E38" s="40"/>
      <c r="F38" s="41"/>
      <c r="H38" s="29"/>
      <c r="I38" s="30"/>
      <c r="J38" s="32"/>
      <c r="K38" s="37"/>
      <c r="L38" s="33"/>
      <c r="M38" s="71"/>
      <c r="N38"/>
      <c r="O38" s="10" t="e">
        <f t="shared" si="6"/>
        <v>#N/A</v>
      </c>
      <c r="P38" s="10" t="e">
        <f t="shared" si="7"/>
        <v>#N/A</v>
      </c>
      <c r="Q38" s="10" t="e">
        <f t="shared" si="8"/>
        <v>#N/A</v>
      </c>
      <c r="R38" s="10" t="str">
        <f t="shared" si="9"/>
        <v/>
      </c>
    </row>
    <row r="39" spans="1:18" x14ac:dyDescent="0.45">
      <c r="A39" s="59"/>
      <c r="B39" s="55"/>
      <c r="C39" s="54"/>
      <c r="D39" s="50"/>
      <c r="E39" s="60"/>
      <c r="F39" s="51"/>
      <c r="G39" s="8"/>
      <c r="H39" s="54"/>
      <c r="I39" s="55"/>
      <c r="J39" s="56"/>
      <c r="K39" s="57"/>
      <c r="L39" s="61"/>
      <c r="M39" s="70"/>
      <c r="O39" s="10" t="e">
        <f t="shared" si="6"/>
        <v>#N/A</v>
      </c>
      <c r="P39" s="10" t="e">
        <f t="shared" si="7"/>
        <v>#N/A</v>
      </c>
      <c r="Q39" s="10" t="e">
        <f t="shared" si="8"/>
        <v>#N/A</v>
      </c>
      <c r="R39" s="10" t="str">
        <f t="shared" ref="R39:R40" si="10">IF(OR(F39="",F39=0),"",(D39+F39)/10000)</f>
        <v/>
      </c>
    </row>
    <row r="40" spans="1:18" x14ac:dyDescent="0.45">
      <c r="A40" s="31"/>
      <c r="B40" s="62"/>
      <c r="C40" s="68"/>
      <c r="D40" s="67"/>
      <c r="E40" s="69"/>
      <c r="F40" s="41"/>
      <c r="G40" s="8"/>
      <c r="H40" s="31"/>
      <c r="I40" s="62"/>
      <c r="J40" s="72"/>
      <c r="K40" s="73"/>
      <c r="L40" s="71"/>
      <c r="M40" s="71"/>
      <c r="O40" s="10" t="e">
        <f t="shared" si="6"/>
        <v>#N/A</v>
      </c>
      <c r="P40" s="10" t="e">
        <f t="shared" si="7"/>
        <v>#N/A</v>
      </c>
      <c r="Q40" s="10" t="e">
        <f t="shared" si="8"/>
        <v>#N/A</v>
      </c>
      <c r="R40" s="10" t="str">
        <f t="shared" si="10"/>
        <v/>
      </c>
    </row>
    <row r="41" spans="1:18" x14ac:dyDescent="0.45">
      <c r="A41" s="1" t="s">
        <v>35</v>
      </c>
    </row>
  </sheetData>
  <mergeCells count="2">
    <mergeCell ref="A9:D9"/>
    <mergeCell ref="H9:K9"/>
  </mergeCells>
  <phoneticPr fontId="2"/>
  <conditionalFormatting sqref="E40">
    <cfRule type="expression" dxfId="15" priority="3">
      <formula>$E40&lt;0</formula>
    </cfRule>
  </conditionalFormatting>
  <conditionalFormatting sqref="L40">
    <cfRule type="expression" dxfId="14" priority="4">
      <formula>$L40&lt;0</formula>
    </cfRule>
  </conditionalFormatting>
  <conditionalFormatting sqref="W3:AB3">
    <cfRule type="cellIs" dxfId="13" priority="22" operator="lessThan">
      <formula>0</formula>
    </cfRule>
    <cfRule type="cellIs" dxfId="12" priority="23" operator="greaterThan">
      <formula>0</formula>
    </cfRule>
  </conditionalFormatting>
  <conditionalFormatting sqref="W5:AB5">
    <cfRule type="cellIs" dxfId="11" priority="20" operator="lessThan">
      <formula>0</formula>
    </cfRule>
    <cfRule type="cellIs" dxfId="10" priority="21" operator="greaterThan">
      <formula>0</formula>
    </cfRule>
  </conditionalFormatting>
  <conditionalFormatting sqref="E11:E39">
    <cfRule type="expression" dxfId="5" priority="1">
      <formula>$E11&lt;0</formula>
    </cfRule>
  </conditionalFormatting>
  <conditionalFormatting sqref="L11:L39">
    <cfRule type="expression" dxfId="4" priority="2">
      <formula>$L11&lt;0</formula>
    </cfRule>
  </conditionalFormatting>
  <pageMargins left="0.23622047244094491" right="0.23622047244094491" top="0.74803149606299213" bottom="0.74803149606299213" header="0.31496062992125984" footer="0.31496062992125984"/>
  <pageSetup paperSize="9" scale="67" orientation="landscape" horizontalDpi="300" verticalDpi="300" r:id="rId1"/>
  <headerFooter>
    <oddHeader>&amp;C&amp;"Times New Roman,標準"&amp;12&amp;Kffffff&amp;A</oddHeader>
    <oddFooter>&amp;C&amp;12&amp;KFFFFFFページ&amp;"Times New Roman,標準"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3AA30-C719-46F3-827D-B35E07FF1E4F}">
  <sheetPr>
    <pageSetUpPr fitToPage="1"/>
  </sheetPr>
  <dimension ref="A1:S33"/>
  <sheetViews>
    <sheetView showGridLines="0" zoomScaleNormal="100" zoomScaleSheetLayoutView="80" workbookViewId="0">
      <selection sqref="A1:D1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9" width="13.77734375" style="2" customWidth="1"/>
    <col min="20" max="20" width="13.77734375" style="1" customWidth="1"/>
    <col min="21" max="21" width="11.109375" style="1" customWidth="1"/>
    <col min="22" max="22" width="11.5546875" style="1"/>
    <col min="23" max="23" width="9.109375" style="1" customWidth="1"/>
    <col min="24" max="29" width="9.88671875" style="1" customWidth="1"/>
    <col min="30" max="16384" width="11.5546875" style="1"/>
  </cols>
  <sheetData>
    <row r="1" spans="1:19" ht="26.4" x14ac:dyDescent="0.65">
      <c r="A1" s="93" t="str">
        <f>"売上　計画ｘ見込み（" &amp; TEXT(B3, "yyyy年m月") &amp; "）"</f>
        <v>売上　計画ｘ見込み（1900年1月）</v>
      </c>
      <c r="B1" s="93"/>
      <c r="C1" s="93"/>
      <c r="D1" s="93"/>
      <c r="H1" s="95" t="str">
        <f>"稼働率　計画ｘ見込み（" &amp; TEXT(B3, "yyyy年m月") &amp; "）"</f>
        <v>稼働率　計画ｘ見込み（1900年1月）</v>
      </c>
      <c r="I1" s="93"/>
      <c r="J1" s="93"/>
      <c r="K1" s="93"/>
      <c r="Q1" s="1"/>
      <c r="R1" s="1"/>
      <c r="S1" s="1"/>
    </row>
    <row r="2" spans="1:19" ht="25.05" customHeight="1" x14ac:dyDescent="0.45">
      <c r="A2" s="25" t="s">
        <v>12</v>
      </c>
      <c r="B2" s="23" t="s">
        <v>29</v>
      </c>
      <c r="C2" s="34" t="s">
        <v>1</v>
      </c>
      <c r="D2" s="52" t="s">
        <v>31</v>
      </c>
      <c r="E2" s="35" t="s">
        <v>13</v>
      </c>
      <c r="F2" s="64" t="s">
        <v>37</v>
      </c>
      <c r="G2" s="24"/>
      <c r="H2" s="26" t="s">
        <v>12</v>
      </c>
      <c r="I2" s="27" t="s">
        <v>29</v>
      </c>
      <c r="J2" s="28" t="s">
        <v>2</v>
      </c>
      <c r="K2" s="53" t="s">
        <v>30</v>
      </c>
      <c r="L2" s="36" t="s">
        <v>14</v>
      </c>
      <c r="M2" s="74" t="s">
        <v>38</v>
      </c>
      <c r="O2" s="5" t="s">
        <v>9</v>
      </c>
      <c r="P2" s="5" t="s">
        <v>32</v>
      </c>
      <c r="Q2" s="5" t="s">
        <v>8</v>
      </c>
      <c r="R2" s="5" t="s">
        <v>34</v>
      </c>
      <c r="S2" s="1"/>
    </row>
    <row r="3" spans="1:19" x14ac:dyDescent="0.45">
      <c r="A3" s="59"/>
      <c r="B3" s="55"/>
      <c r="C3" s="54"/>
      <c r="D3" s="50"/>
      <c r="E3" s="60"/>
      <c r="F3" s="51"/>
      <c r="G3" s="8"/>
      <c r="H3" s="54"/>
      <c r="I3" s="55"/>
      <c r="J3" s="56"/>
      <c r="K3" s="57"/>
      <c r="L3" s="61"/>
      <c r="M3" s="70"/>
      <c r="N3" s="8"/>
      <c r="O3" s="10" t="e">
        <f>IF($A3="",NA(),$C3/10000)</f>
        <v>#N/A</v>
      </c>
      <c r="P3" s="10" t="e">
        <f>IF($A3="",NA(),$D3/10000)</f>
        <v>#N/A</v>
      </c>
      <c r="Q3" s="10" t="e">
        <f>IF($A3="",NA(),$E3/10000)</f>
        <v>#N/A</v>
      </c>
      <c r="R3" s="10" t="str">
        <f>IF(OR(F3="",F3=0),"",(D3+F3)/10000)</f>
        <v/>
      </c>
      <c r="S3" s="1"/>
    </row>
    <row r="4" spans="1:19" x14ac:dyDescent="0.45">
      <c r="A4" s="29"/>
      <c r="B4" s="30"/>
      <c r="C4" s="39"/>
      <c r="D4" s="38"/>
      <c r="E4" s="40"/>
      <c r="F4" s="41"/>
      <c r="H4" s="29"/>
      <c r="I4" s="30"/>
      <c r="J4" s="32"/>
      <c r="K4" s="37"/>
      <c r="L4" s="33"/>
      <c r="M4" s="71"/>
      <c r="N4" s="7"/>
      <c r="O4" s="10" t="e">
        <f>IF($A4="",NA(),$C4/10000)</f>
        <v>#N/A</v>
      </c>
      <c r="P4" s="10" t="e">
        <f>IF($A4="",NA(),$D4/10000)</f>
        <v>#N/A</v>
      </c>
      <c r="Q4" s="10" t="e">
        <f>IF($A4="",NA(),$E4/10000)</f>
        <v>#N/A</v>
      </c>
      <c r="R4" s="10" t="str">
        <f t="shared" ref="R4:R30" si="0">IF(OR(F4="",F4=0),"",(D4+F4)/10000)</f>
        <v/>
      </c>
      <c r="S4" s="1"/>
    </row>
    <row r="5" spans="1:19" x14ac:dyDescent="0.45">
      <c r="A5" s="59"/>
      <c r="B5" s="55"/>
      <c r="C5" s="54"/>
      <c r="D5" s="50"/>
      <c r="E5" s="60"/>
      <c r="F5" s="51"/>
      <c r="G5" s="8"/>
      <c r="H5" s="54"/>
      <c r="I5" s="55"/>
      <c r="J5" s="56"/>
      <c r="K5" s="57"/>
      <c r="L5" s="61"/>
      <c r="M5" s="70"/>
      <c r="N5" s="7"/>
      <c r="O5" s="10" t="e">
        <f>IF($A5="",NA(),$C5/10000)</f>
        <v>#N/A</v>
      </c>
      <c r="P5" s="10" t="e">
        <f>IF($A5="",NA(),$D5/10000)</f>
        <v>#N/A</v>
      </c>
      <c r="Q5" s="10" t="e">
        <f>IF($A5="",NA(),$E5/10000)</f>
        <v>#N/A</v>
      </c>
      <c r="R5" s="10" t="str">
        <f>IF(OR(F5="",F5=0),"",(D5+F5)/10000)</f>
        <v/>
      </c>
      <c r="S5" s="1"/>
    </row>
    <row r="6" spans="1:19" x14ac:dyDescent="0.45">
      <c r="A6" s="29"/>
      <c r="B6" s="30"/>
      <c r="C6" s="39"/>
      <c r="D6" s="38"/>
      <c r="E6" s="40"/>
      <c r="F6" s="41"/>
      <c r="H6" s="29"/>
      <c r="I6" s="30"/>
      <c r="J6" s="32"/>
      <c r="K6" s="37"/>
      <c r="L6" s="33"/>
      <c r="M6" s="71"/>
      <c r="N6" s="7"/>
      <c r="O6" s="10" t="e">
        <f t="shared" ref="O6:O32" si="1">IF($A6="",NA(),$C6/10000)</f>
        <v>#N/A</v>
      </c>
      <c r="P6" s="10" t="e">
        <f t="shared" ref="P6:P32" si="2">IF($A6="",NA(),$D6/10000)</f>
        <v>#N/A</v>
      </c>
      <c r="Q6" s="10" t="e">
        <f t="shared" ref="Q6:Q32" si="3">IF($A6="",NA(),$E6/10000)</f>
        <v>#N/A</v>
      </c>
      <c r="R6" s="10" t="str">
        <f t="shared" si="0"/>
        <v/>
      </c>
      <c r="S6" s="1"/>
    </row>
    <row r="7" spans="1:19" x14ac:dyDescent="0.45">
      <c r="A7" s="59"/>
      <c r="B7" s="55"/>
      <c r="C7" s="54"/>
      <c r="D7" s="50"/>
      <c r="E7" s="60"/>
      <c r="F7" s="51"/>
      <c r="G7" s="8"/>
      <c r="H7" s="54"/>
      <c r="I7" s="55"/>
      <c r="J7" s="56"/>
      <c r="K7" s="57"/>
      <c r="L7" s="61"/>
      <c r="M7" s="70"/>
      <c r="N7"/>
      <c r="O7" s="10" t="e">
        <f t="shared" si="1"/>
        <v>#N/A</v>
      </c>
      <c r="P7" s="10" t="e">
        <f t="shared" si="2"/>
        <v>#N/A</v>
      </c>
      <c r="Q7" s="10" t="e">
        <f t="shared" si="3"/>
        <v>#N/A</v>
      </c>
      <c r="R7" s="10" t="str">
        <f t="shared" si="0"/>
        <v/>
      </c>
      <c r="S7" s="1"/>
    </row>
    <row r="8" spans="1:19" x14ac:dyDescent="0.45">
      <c r="A8" s="29"/>
      <c r="B8" s="30"/>
      <c r="C8" s="39"/>
      <c r="D8" s="38"/>
      <c r="E8" s="40"/>
      <c r="F8" s="41"/>
      <c r="H8" s="29"/>
      <c r="I8" s="30"/>
      <c r="J8" s="32"/>
      <c r="K8" s="37"/>
      <c r="L8" s="33"/>
      <c r="M8" s="71"/>
      <c r="N8"/>
      <c r="O8" s="10" t="e">
        <f t="shared" si="1"/>
        <v>#N/A</v>
      </c>
      <c r="P8" s="10" t="e">
        <f t="shared" si="2"/>
        <v>#N/A</v>
      </c>
      <c r="Q8" s="10" t="e">
        <f t="shared" si="3"/>
        <v>#N/A</v>
      </c>
      <c r="R8" s="10" t="str">
        <f t="shared" si="0"/>
        <v/>
      </c>
      <c r="S8" s="1"/>
    </row>
    <row r="9" spans="1:19" x14ac:dyDescent="0.45">
      <c r="A9" s="59"/>
      <c r="B9" s="55"/>
      <c r="C9" s="54"/>
      <c r="D9" s="50"/>
      <c r="E9" s="60"/>
      <c r="F9" s="51"/>
      <c r="G9" s="8"/>
      <c r="H9" s="54"/>
      <c r="I9" s="55"/>
      <c r="J9" s="56"/>
      <c r="K9" s="57"/>
      <c r="L9" s="61"/>
      <c r="M9" s="58"/>
      <c r="N9"/>
      <c r="O9" s="10" t="e">
        <f t="shared" si="1"/>
        <v>#N/A</v>
      </c>
      <c r="P9" s="10" t="e">
        <f t="shared" si="2"/>
        <v>#N/A</v>
      </c>
      <c r="Q9" s="10" t="e">
        <f t="shared" si="3"/>
        <v>#N/A</v>
      </c>
      <c r="R9" s="10" t="str">
        <f t="shared" si="0"/>
        <v/>
      </c>
      <c r="S9" s="1"/>
    </row>
    <row r="10" spans="1:19" x14ac:dyDescent="0.45">
      <c r="A10" s="29"/>
      <c r="B10" s="30"/>
      <c r="C10" s="39"/>
      <c r="D10" s="38"/>
      <c r="E10" s="40"/>
      <c r="F10" s="41"/>
      <c r="H10" s="29"/>
      <c r="I10" s="30"/>
      <c r="J10" s="32"/>
      <c r="K10" s="37"/>
      <c r="L10" s="33"/>
      <c r="M10" s="43"/>
      <c r="N10"/>
      <c r="O10" s="10" t="e">
        <f t="shared" si="1"/>
        <v>#N/A</v>
      </c>
      <c r="P10" s="10" t="e">
        <f t="shared" si="2"/>
        <v>#N/A</v>
      </c>
      <c r="Q10" s="10" t="e">
        <f t="shared" si="3"/>
        <v>#N/A</v>
      </c>
      <c r="R10" s="10" t="str">
        <f t="shared" si="0"/>
        <v/>
      </c>
      <c r="S10" s="1"/>
    </row>
    <row r="11" spans="1:19" x14ac:dyDescent="0.45">
      <c r="A11" s="59"/>
      <c r="B11" s="55"/>
      <c r="C11" s="54"/>
      <c r="D11" s="50"/>
      <c r="E11" s="60"/>
      <c r="F11" s="51"/>
      <c r="G11" s="8"/>
      <c r="H11" s="54"/>
      <c r="I11" s="55"/>
      <c r="J11" s="56"/>
      <c r="K11" s="57"/>
      <c r="L11" s="61"/>
      <c r="M11" s="70"/>
      <c r="N11"/>
      <c r="O11" s="10" t="e">
        <f t="shared" si="1"/>
        <v>#N/A</v>
      </c>
      <c r="P11" s="10" t="e">
        <f t="shared" si="2"/>
        <v>#N/A</v>
      </c>
      <c r="Q11" s="10" t="e">
        <f t="shared" si="3"/>
        <v>#N/A</v>
      </c>
      <c r="R11" s="10" t="str">
        <f t="shared" si="0"/>
        <v/>
      </c>
      <c r="S11" s="1"/>
    </row>
    <row r="12" spans="1:19" x14ac:dyDescent="0.45">
      <c r="A12" s="29"/>
      <c r="B12" s="30"/>
      <c r="C12" s="39"/>
      <c r="D12" s="38"/>
      <c r="E12" s="40"/>
      <c r="F12" s="41"/>
      <c r="H12" s="29"/>
      <c r="I12" s="30"/>
      <c r="J12" s="32"/>
      <c r="K12" s="37"/>
      <c r="L12" s="33"/>
      <c r="M12" s="71"/>
      <c r="N12"/>
      <c r="O12" s="10" t="e">
        <f t="shared" si="1"/>
        <v>#N/A</v>
      </c>
      <c r="P12" s="10" t="e">
        <f t="shared" si="2"/>
        <v>#N/A</v>
      </c>
      <c r="Q12" s="10" t="e">
        <f t="shared" si="3"/>
        <v>#N/A</v>
      </c>
      <c r="R12" s="10" t="str">
        <f t="shared" si="0"/>
        <v/>
      </c>
      <c r="S12" s="1"/>
    </row>
    <row r="13" spans="1:19" x14ac:dyDescent="0.45">
      <c r="A13" s="59"/>
      <c r="B13" s="55"/>
      <c r="C13" s="54"/>
      <c r="D13" s="50"/>
      <c r="E13" s="60"/>
      <c r="F13" s="51"/>
      <c r="G13" s="8"/>
      <c r="H13" s="54"/>
      <c r="I13" s="55"/>
      <c r="J13" s="56"/>
      <c r="K13" s="57"/>
      <c r="L13" s="61"/>
      <c r="M13" s="58"/>
      <c r="N13"/>
      <c r="O13" s="10" t="e">
        <f t="shared" si="1"/>
        <v>#N/A</v>
      </c>
      <c r="P13" s="10" t="e">
        <f t="shared" si="2"/>
        <v>#N/A</v>
      </c>
      <c r="Q13" s="10" t="e">
        <f t="shared" si="3"/>
        <v>#N/A</v>
      </c>
      <c r="R13" s="10" t="str">
        <f t="shared" si="0"/>
        <v/>
      </c>
      <c r="S13" s="1"/>
    </row>
    <row r="14" spans="1:19" x14ac:dyDescent="0.45">
      <c r="A14" s="29"/>
      <c r="B14" s="30"/>
      <c r="C14" s="39"/>
      <c r="D14" s="38"/>
      <c r="E14" s="40"/>
      <c r="F14" s="41"/>
      <c r="H14" s="29"/>
      <c r="I14" s="30"/>
      <c r="J14" s="32"/>
      <c r="K14" s="37"/>
      <c r="L14" s="33"/>
      <c r="M14" s="71"/>
      <c r="N14"/>
      <c r="O14" s="10" t="e">
        <f t="shared" si="1"/>
        <v>#N/A</v>
      </c>
      <c r="P14" s="10" t="e">
        <f t="shared" si="2"/>
        <v>#N/A</v>
      </c>
      <c r="Q14" s="10" t="e">
        <f t="shared" si="3"/>
        <v>#N/A</v>
      </c>
      <c r="R14" s="10" t="str">
        <f t="shared" si="0"/>
        <v/>
      </c>
      <c r="S14" s="1"/>
    </row>
    <row r="15" spans="1:19" x14ac:dyDescent="0.45">
      <c r="A15" s="59"/>
      <c r="B15" s="55"/>
      <c r="C15" s="54"/>
      <c r="D15" s="50"/>
      <c r="E15" s="60"/>
      <c r="F15" s="51"/>
      <c r="G15" s="8"/>
      <c r="H15" s="54"/>
      <c r="I15" s="55"/>
      <c r="J15" s="56"/>
      <c r="K15" s="57"/>
      <c r="L15" s="61"/>
      <c r="M15" s="70"/>
      <c r="N15"/>
      <c r="O15" s="10" t="e">
        <f t="shared" si="1"/>
        <v>#N/A</v>
      </c>
      <c r="P15" s="10" t="e">
        <f t="shared" si="2"/>
        <v>#N/A</v>
      </c>
      <c r="Q15" s="10" t="e">
        <f t="shared" si="3"/>
        <v>#N/A</v>
      </c>
      <c r="R15" s="10" t="str">
        <f t="shared" si="0"/>
        <v/>
      </c>
      <c r="S15" s="1"/>
    </row>
    <row r="16" spans="1:19" x14ac:dyDescent="0.45">
      <c r="A16" s="29"/>
      <c r="B16" s="30"/>
      <c r="C16" s="39"/>
      <c r="D16" s="38"/>
      <c r="E16" s="40"/>
      <c r="F16" s="41"/>
      <c r="H16" s="29"/>
      <c r="I16" s="30"/>
      <c r="J16" s="32"/>
      <c r="K16" s="37"/>
      <c r="L16" s="33"/>
      <c r="M16" s="43"/>
      <c r="N16"/>
      <c r="O16" s="10" t="e">
        <f t="shared" si="1"/>
        <v>#N/A</v>
      </c>
      <c r="P16" s="10" t="e">
        <f t="shared" si="2"/>
        <v>#N/A</v>
      </c>
      <c r="Q16" s="10" t="e">
        <f t="shared" si="3"/>
        <v>#N/A</v>
      </c>
      <c r="R16" s="10" t="str">
        <f t="shared" si="0"/>
        <v/>
      </c>
      <c r="S16" s="1"/>
    </row>
    <row r="17" spans="1:19" x14ac:dyDescent="0.45">
      <c r="A17" s="59"/>
      <c r="B17" s="55"/>
      <c r="C17" s="54"/>
      <c r="D17" s="50"/>
      <c r="E17" s="60"/>
      <c r="F17" s="51"/>
      <c r="G17" s="8"/>
      <c r="H17" s="54"/>
      <c r="I17" s="55"/>
      <c r="J17" s="56"/>
      <c r="K17" s="57"/>
      <c r="L17" s="61"/>
      <c r="M17" s="70"/>
      <c r="N17"/>
      <c r="O17" s="10" t="e">
        <f t="shared" si="1"/>
        <v>#N/A</v>
      </c>
      <c r="P17" s="10" t="e">
        <f t="shared" si="2"/>
        <v>#N/A</v>
      </c>
      <c r="Q17" s="10" t="e">
        <f t="shared" si="3"/>
        <v>#N/A</v>
      </c>
      <c r="R17" s="10" t="str">
        <f t="shared" si="0"/>
        <v/>
      </c>
      <c r="S17" s="1"/>
    </row>
    <row r="18" spans="1:19" x14ac:dyDescent="0.45">
      <c r="A18" s="29"/>
      <c r="B18" s="30"/>
      <c r="C18" s="39"/>
      <c r="D18" s="38"/>
      <c r="E18" s="40"/>
      <c r="F18" s="41"/>
      <c r="H18" s="29"/>
      <c r="I18" s="30"/>
      <c r="J18" s="32"/>
      <c r="K18" s="37"/>
      <c r="L18" s="33"/>
      <c r="M18" s="71"/>
      <c r="N18"/>
      <c r="O18" s="10" t="e">
        <f t="shared" si="1"/>
        <v>#N/A</v>
      </c>
      <c r="P18" s="10" t="e">
        <f t="shared" si="2"/>
        <v>#N/A</v>
      </c>
      <c r="Q18" s="10" t="e">
        <f t="shared" si="3"/>
        <v>#N/A</v>
      </c>
      <c r="R18" s="10" t="str">
        <f t="shared" si="0"/>
        <v/>
      </c>
      <c r="S18" s="1"/>
    </row>
    <row r="19" spans="1:19" x14ac:dyDescent="0.45">
      <c r="A19" s="59"/>
      <c r="B19" s="55"/>
      <c r="C19" s="54"/>
      <c r="D19" s="50"/>
      <c r="E19" s="60"/>
      <c r="F19" s="51"/>
      <c r="G19" s="8"/>
      <c r="H19" s="54"/>
      <c r="I19" s="55"/>
      <c r="J19" s="56"/>
      <c r="K19" s="57"/>
      <c r="L19" s="61"/>
      <c r="M19" s="70"/>
      <c r="N19"/>
      <c r="O19" s="10" t="e">
        <f t="shared" si="1"/>
        <v>#N/A</v>
      </c>
      <c r="P19" s="10" t="e">
        <f t="shared" si="2"/>
        <v>#N/A</v>
      </c>
      <c r="Q19" s="10" t="e">
        <f t="shared" si="3"/>
        <v>#N/A</v>
      </c>
      <c r="R19" s="10" t="str">
        <f t="shared" si="0"/>
        <v/>
      </c>
      <c r="S19" s="1"/>
    </row>
    <row r="20" spans="1:19" x14ac:dyDescent="0.45">
      <c r="A20" s="29"/>
      <c r="B20" s="30"/>
      <c r="C20" s="39"/>
      <c r="D20" s="38"/>
      <c r="E20" s="40"/>
      <c r="F20" s="41"/>
      <c r="H20" s="29"/>
      <c r="I20" s="30"/>
      <c r="J20" s="32"/>
      <c r="K20" s="37"/>
      <c r="L20" s="33"/>
      <c r="M20" s="71"/>
      <c r="N20"/>
      <c r="O20" s="10" t="e">
        <f t="shared" si="1"/>
        <v>#N/A</v>
      </c>
      <c r="P20" s="10" t="e">
        <f t="shared" si="2"/>
        <v>#N/A</v>
      </c>
      <c r="Q20" s="10" t="e">
        <f t="shared" si="3"/>
        <v>#N/A</v>
      </c>
      <c r="R20" s="10" t="str">
        <f t="shared" si="0"/>
        <v/>
      </c>
      <c r="S20" s="1"/>
    </row>
    <row r="21" spans="1:19" x14ac:dyDescent="0.45">
      <c r="A21" s="59"/>
      <c r="B21" s="55"/>
      <c r="C21" s="54"/>
      <c r="D21" s="50"/>
      <c r="E21" s="60"/>
      <c r="F21" s="51"/>
      <c r="G21" s="8"/>
      <c r="H21" s="54"/>
      <c r="I21" s="55"/>
      <c r="J21" s="56"/>
      <c r="K21" s="57"/>
      <c r="L21" s="61"/>
      <c r="M21" s="70"/>
      <c r="N21"/>
      <c r="O21" s="10" t="e">
        <f t="shared" si="1"/>
        <v>#N/A</v>
      </c>
      <c r="P21" s="10" t="e">
        <f t="shared" si="2"/>
        <v>#N/A</v>
      </c>
      <c r="Q21" s="10" t="e">
        <f t="shared" si="3"/>
        <v>#N/A</v>
      </c>
      <c r="R21" s="10" t="str">
        <f t="shared" si="0"/>
        <v/>
      </c>
      <c r="S21" s="1"/>
    </row>
    <row r="22" spans="1:19" x14ac:dyDescent="0.45">
      <c r="A22" s="29"/>
      <c r="B22" s="30"/>
      <c r="C22" s="39"/>
      <c r="D22" s="38"/>
      <c r="E22" s="40"/>
      <c r="F22" s="41"/>
      <c r="H22" s="29"/>
      <c r="I22" s="30"/>
      <c r="J22" s="32"/>
      <c r="K22" s="37"/>
      <c r="L22" s="33"/>
      <c r="M22" s="71"/>
      <c r="N22"/>
      <c r="O22" s="10" t="e">
        <f t="shared" si="1"/>
        <v>#N/A</v>
      </c>
      <c r="P22" s="10" t="e">
        <f t="shared" si="2"/>
        <v>#N/A</v>
      </c>
      <c r="Q22" s="10" t="e">
        <f t="shared" si="3"/>
        <v>#N/A</v>
      </c>
      <c r="R22" s="10" t="str">
        <f t="shared" si="0"/>
        <v/>
      </c>
      <c r="S22" s="1"/>
    </row>
    <row r="23" spans="1:19" x14ac:dyDescent="0.45">
      <c r="A23" s="59"/>
      <c r="B23" s="55"/>
      <c r="C23" s="54"/>
      <c r="D23" s="50"/>
      <c r="E23" s="60"/>
      <c r="F23" s="51"/>
      <c r="G23" s="8"/>
      <c r="H23" s="54"/>
      <c r="I23" s="55"/>
      <c r="J23" s="56"/>
      <c r="K23" s="57"/>
      <c r="L23" s="61"/>
      <c r="M23" s="70"/>
      <c r="N23"/>
      <c r="O23" s="10" t="e">
        <f t="shared" si="1"/>
        <v>#N/A</v>
      </c>
      <c r="P23" s="10" t="e">
        <f t="shared" si="2"/>
        <v>#N/A</v>
      </c>
      <c r="Q23" s="10" t="e">
        <f t="shared" si="3"/>
        <v>#N/A</v>
      </c>
      <c r="R23" s="10" t="str">
        <f t="shared" si="0"/>
        <v/>
      </c>
      <c r="S23" s="1"/>
    </row>
    <row r="24" spans="1:19" x14ac:dyDescent="0.45">
      <c r="A24" s="29"/>
      <c r="B24" s="30"/>
      <c r="C24" s="39"/>
      <c r="D24" s="38"/>
      <c r="E24" s="40"/>
      <c r="F24" s="41"/>
      <c r="H24" s="29"/>
      <c r="I24" s="30"/>
      <c r="J24" s="32"/>
      <c r="K24" s="37"/>
      <c r="L24" s="33"/>
      <c r="M24" s="71"/>
      <c r="N24"/>
      <c r="O24" s="10" t="e">
        <f t="shared" si="1"/>
        <v>#N/A</v>
      </c>
      <c r="P24" s="10" t="e">
        <f t="shared" si="2"/>
        <v>#N/A</v>
      </c>
      <c r="Q24" s="10" t="e">
        <f t="shared" si="3"/>
        <v>#N/A</v>
      </c>
      <c r="R24" s="10" t="str">
        <f t="shared" si="0"/>
        <v/>
      </c>
      <c r="S24" s="1"/>
    </row>
    <row r="25" spans="1:19" x14ac:dyDescent="0.45">
      <c r="A25" s="59"/>
      <c r="B25" s="55"/>
      <c r="C25" s="54"/>
      <c r="D25" s="50"/>
      <c r="E25" s="60"/>
      <c r="F25" s="51"/>
      <c r="G25" s="8"/>
      <c r="H25" s="54"/>
      <c r="I25" s="55"/>
      <c r="J25" s="56"/>
      <c r="K25" s="57"/>
      <c r="L25" s="61"/>
      <c r="M25" s="70"/>
      <c r="N25"/>
      <c r="O25" s="10" t="e">
        <f t="shared" si="1"/>
        <v>#N/A</v>
      </c>
      <c r="P25" s="10" t="e">
        <f t="shared" si="2"/>
        <v>#N/A</v>
      </c>
      <c r="Q25" s="10" t="e">
        <f t="shared" si="3"/>
        <v>#N/A</v>
      </c>
      <c r="R25" s="10" t="str">
        <f t="shared" si="0"/>
        <v/>
      </c>
      <c r="S25" s="1"/>
    </row>
    <row r="26" spans="1:19" x14ac:dyDescent="0.45">
      <c r="A26" s="29"/>
      <c r="B26" s="30"/>
      <c r="C26" s="39"/>
      <c r="D26" s="38"/>
      <c r="E26" s="40"/>
      <c r="F26" s="41"/>
      <c r="H26" s="29"/>
      <c r="I26" s="30"/>
      <c r="J26" s="32"/>
      <c r="K26" s="37"/>
      <c r="L26" s="33"/>
      <c r="M26" s="71"/>
      <c r="N26"/>
      <c r="O26" s="10" t="e">
        <f t="shared" si="1"/>
        <v>#N/A</v>
      </c>
      <c r="P26" s="10" t="e">
        <f t="shared" si="2"/>
        <v>#N/A</v>
      </c>
      <c r="Q26" s="10" t="e">
        <f t="shared" si="3"/>
        <v>#N/A</v>
      </c>
      <c r="R26" s="10" t="str">
        <f t="shared" si="0"/>
        <v/>
      </c>
      <c r="S26" s="1"/>
    </row>
    <row r="27" spans="1:19" x14ac:dyDescent="0.45">
      <c r="A27" s="59"/>
      <c r="B27" s="55"/>
      <c r="C27" s="54"/>
      <c r="D27" s="50"/>
      <c r="E27" s="60"/>
      <c r="F27" s="51"/>
      <c r="G27" s="8"/>
      <c r="H27" s="54"/>
      <c r="I27" s="55"/>
      <c r="J27" s="56"/>
      <c r="K27" s="57"/>
      <c r="L27" s="61"/>
      <c r="M27" s="70"/>
      <c r="N27"/>
      <c r="O27" s="10" t="e">
        <f t="shared" si="1"/>
        <v>#N/A</v>
      </c>
      <c r="P27" s="10" t="e">
        <f t="shared" si="2"/>
        <v>#N/A</v>
      </c>
      <c r="Q27" s="10" t="e">
        <f t="shared" si="3"/>
        <v>#N/A</v>
      </c>
      <c r="R27" s="10" t="str">
        <f t="shared" si="0"/>
        <v/>
      </c>
      <c r="S27" s="1"/>
    </row>
    <row r="28" spans="1:19" x14ac:dyDescent="0.45">
      <c r="A28" s="29"/>
      <c r="B28" s="30"/>
      <c r="C28" s="39"/>
      <c r="D28" s="38"/>
      <c r="E28" s="40"/>
      <c r="F28" s="41"/>
      <c r="H28" s="29"/>
      <c r="I28" s="30"/>
      <c r="J28" s="32"/>
      <c r="K28" s="37"/>
      <c r="L28" s="33"/>
      <c r="M28" s="43"/>
      <c r="N28"/>
      <c r="O28" s="10" t="e">
        <f t="shared" si="1"/>
        <v>#N/A</v>
      </c>
      <c r="P28" s="10" t="e">
        <f t="shared" si="2"/>
        <v>#N/A</v>
      </c>
      <c r="Q28" s="10" t="e">
        <f t="shared" si="3"/>
        <v>#N/A</v>
      </c>
      <c r="R28" s="10" t="str">
        <f t="shared" si="0"/>
        <v/>
      </c>
      <c r="S28" s="1"/>
    </row>
    <row r="29" spans="1:19" x14ac:dyDescent="0.45">
      <c r="A29" s="59"/>
      <c r="B29" s="55"/>
      <c r="C29" s="54"/>
      <c r="D29" s="50"/>
      <c r="E29" s="60"/>
      <c r="F29" s="51"/>
      <c r="G29" s="8"/>
      <c r="H29" s="54"/>
      <c r="I29" s="55"/>
      <c r="J29" s="56"/>
      <c r="K29" s="57"/>
      <c r="L29" s="61"/>
      <c r="M29" s="70"/>
      <c r="N29"/>
      <c r="O29" s="10" t="e">
        <f t="shared" si="1"/>
        <v>#N/A</v>
      </c>
      <c r="P29" s="10" t="e">
        <f t="shared" si="2"/>
        <v>#N/A</v>
      </c>
      <c r="Q29" s="10" t="e">
        <f t="shared" si="3"/>
        <v>#N/A</v>
      </c>
      <c r="R29" s="10" t="str">
        <f t="shared" si="0"/>
        <v/>
      </c>
      <c r="S29" s="1"/>
    </row>
    <row r="30" spans="1:19" x14ac:dyDescent="0.45">
      <c r="A30" s="29"/>
      <c r="B30" s="30"/>
      <c r="C30" s="39"/>
      <c r="D30" s="38"/>
      <c r="E30" s="40"/>
      <c r="F30" s="41"/>
      <c r="H30" s="29"/>
      <c r="I30" s="30"/>
      <c r="J30" s="32"/>
      <c r="K30" s="37"/>
      <c r="L30" s="33"/>
      <c r="M30" s="43"/>
      <c r="N30"/>
      <c r="O30" s="10" t="e">
        <f t="shared" si="1"/>
        <v>#N/A</v>
      </c>
      <c r="P30" s="10" t="e">
        <f t="shared" si="2"/>
        <v>#N/A</v>
      </c>
      <c r="Q30" s="10" t="e">
        <f t="shared" si="3"/>
        <v>#N/A</v>
      </c>
      <c r="R30" s="10" t="str">
        <f t="shared" si="0"/>
        <v/>
      </c>
      <c r="S30" s="1"/>
    </row>
    <row r="31" spans="1:19" x14ac:dyDescent="0.45">
      <c r="A31" s="59"/>
      <c r="B31" s="55"/>
      <c r="C31" s="54"/>
      <c r="D31" s="50"/>
      <c r="E31" s="60"/>
      <c r="F31" s="51"/>
      <c r="G31" s="8"/>
      <c r="H31" s="54"/>
      <c r="I31" s="55"/>
      <c r="J31" s="56"/>
      <c r="K31" s="57"/>
      <c r="L31" s="61"/>
      <c r="M31" s="70"/>
      <c r="O31" s="10" t="e">
        <f t="shared" si="1"/>
        <v>#N/A</v>
      </c>
      <c r="P31" s="10" t="e">
        <f t="shared" si="2"/>
        <v>#N/A</v>
      </c>
      <c r="Q31" s="10" t="e">
        <f t="shared" si="3"/>
        <v>#N/A</v>
      </c>
      <c r="R31" s="10" t="str">
        <f t="shared" ref="R31:R32" si="4">IF(OR(F31="",F31=0),"",(D31+F31)/10000)</f>
        <v/>
      </c>
    </row>
    <row r="32" spans="1:19" x14ac:dyDescent="0.45">
      <c r="A32" s="31"/>
      <c r="B32" s="62"/>
      <c r="C32" s="68"/>
      <c r="D32" s="67"/>
      <c r="E32" s="69"/>
      <c r="F32" s="41"/>
      <c r="G32" s="8"/>
      <c r="H32" s="31"/>
      <c r="I32" s="62"/>
      <c r="J32" s="72"/>
      <c r="K32" s="73"/>
      <c r="L32" s="71"/>
      <c r="M32" s="71"/>
      <c r="O32" s="10" t="e">
        <f t="shared" si="1"/>
        <v>#N/A</v>
      </c>
      <c r="P32" s="10" t="e">
        <f t="shared" si="2"/>
        <v>#N/A</v>
      </c>
      <c r="Q32" s="10" t="e">
        <f t="shared" si="3"/>
        <v>#N/A</v>
      </c>
      <c r="R32" s="10" t="str">
        <f t="shared" si="4"/>
        <v/>
      </c>
    </row>
    <row r="33" spans="1:7" x14ac:dyDescent="0.45">
      <c r="A33" s="1" t="s">
        <v>35</v>
      </c>
      <c r="G33" s="8"/>
    </row>
  </sheetData>
  <mergeCells count="2">
    <mergeCell ref="A1:D1"/>
    <mergeCell ref="H1:K1"/>
  </mergeCells>
  <phoneticPr fontId="2"/>
  <conditionalFormatting sqref="E32">
    <cfRule type="expression" dxfId="9" priority="3">
      <formula>$E32&lt;0</formula>
    </cfRule>
  </conditionalFormatting>
  <conditionalFormatting sqref="L32">
    <cfRule type="expression" dxfId="8" priority="4">
      <formula>$L32&lt;0</formula>
    </cfRule>
  </conditionalFormatting>
  <conditionalFormatting sqref="E3:E31">
    <cfRule type="expression" dxfId="3" priority="1">
      <formula>$E3&lt;0</formula>
    </cfRule>
  </conditionalFormatting>
  <conditionalFormatting sqref="L3:L31">
    <cfRule type="expression" dxfId="2" priority="2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3361-22E3-4B33-877F-C4E68A007A04}">
  <sheetPr>
    <pageSetUpPr fitToPage="1"/>
  </sheetPr>
  <dimension ref="A1:S34"/>
  <sheetViews>
    <sheetView showGridLines="0" zoomScaleNormal="100" zoomScaleSheetLayoutView="80" workbookViewId="0">
      <selection sqref="A1:D1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9" width="13.77734375" style="2" customWidth="1"/>
    <col min="20" max="20" width="13.77734375" style="1" customWidth="1"/>
    <col min="21" max="21" width="11.109375" style="1" customWidth="1"/>
    <col min="22" max="22" width="11.5546875" style="1"/>
    <col min="23" max="23" width="9.109375" style="1" customWidth="1"/>
    <col min="24" max="29" width="9.88671875" style="1" customWidth="1"/>
    <col min="30" max="16384" width="11.5546875" style="1"/>
  </cols>
  <sheetData>
    <row r="1" spans="1:19" ht="26.4" x14ac:dyDescent="0.65">
      <c r="A1" s="93" t="str">
        <f>"売上　計画ｘ見込み（" &amp; TEXT(B3, "yyyy年m月") &amp; "）"</f>
        <v>売上　計画ｘ見込み（1900年1月）</v>
      </c>
      <c r="B1" s="93"/>
      <c r="C1" s="93"/>
      <c r="D1" s="93"/>
      <c r="H1" s="95" t="str">
        <f>"稼働率　計画ｘ見込み（" &amp; TEXT(B3, "yyyy年m月") &amp; "）"</f>
        <v>稼働率　計画ｘ見込み（1900年1月）</v>
      </c>
      <c r="I1" s="93"/>
      <c r="J1" s="93"/>
      <c r="K1" s="93"/>
      <c r="Q1" s="1"/>
      <c r="R1" s="1"/>
      <c r="S1" s="1"/>
    </row>
    <row r="2" spans="1:19" ht="25.05" customHeight="1" x14ac:dyDescent="0.45">
      <c r="A2" s="25" t="s">
        <v>12</v>
      </c>
      <c r="B2" s="23" t="s">
        <v>29</v>
      </c>
      <c r="C2" s="34" t="s">
        <v>1</v>
      </c>
      <c r="D2" s="52" t="s">
        <v>31</v>
      </c>
      <c r="E2" s="35" t="s">
        <v>13</v>
      </c>
      <c r="F2" s="64" t="s">
        <v>37</v>
      </c>
      <c r="G2" s="24"/>
      <c r="H2" s="26" t="s">
        <v>12</v>
      </c>
      <c r="I2" s="27" t="s">
        <v>29</v>
      </c>
      <c r="J2" s="28" t="s">
        <v>2</v>
      </c>
      <c r="K2" s="53" t="s">
        <v>30</v>
      </c>
      <c r="L2" s="36" t="s">
        <v>14</v>
      </c>
      <c r="M2" s="74" t="s">
        <v>38</v>
      </c>
      <c r="O2" s="5" t="s">
        <v>9</v>
      </c>
      <c r="P2" s="5" t="s">
        <v>32</v>
      </c>
      <c r="Q2" s="5" t="s">
        <v>8</v>
      </c>
      <c r="R2" s="5" t="s">
        <v>34</v>
      </c>
      <c r="S2" s="1"/>
    </row>
    <row r="3" spans="1:19" x14ac:dyDescent="0.45">
      <c r="A3" s="59"/>
      <c r="B3" s="55"/>
      <c r="C3" s="54"/>
      <c r="D3" s="50"/>
      <c r="E3" s="60"/>
      <c r="F3" s="51"/>
      <c r="G3" s="8"/>
      <c r="H3" s="54"/>
      <c r="I3" s="55"/>
      <c r="J3" s="56"/>
      <c r="K3" s="57"/>
      <c r="L3" s="61"/>
      <c r="M3" s="70"/>
      <c r="N3" s="8"/>
      <c r="O3" s="10" t="e">
        <f>IF($A3="",NA(),$C3/10000)</f>
        <v>#N/A</v>
      </c>
      <c r="P3" s="10" t="e">
        <f>IF($A3="",NA(),$D3/10000)</f>
        <v>#N/A</v>
      </c>
      <c r="Q3" s="10" t="e">
        <f>IF($A3="",NA(),$E3/10000)</f>
        <v>#N/A</v>
      </c>
      <c r="R3" s="10" t="str">
        <f>IF(OR(F3="",F3=0),"",(D3+F3)/10000)</f>
        <v/>
      </c>
      <c r="S3" s="1"/>
    </row>
    <row r="4" spans="1:19" x14ac:dyDescent="0.45">
      <c r="A4" s="29"/>
      <c r="B4" s="30"/>
      <c r="C4" s="39"/>
      <c r="D4" s="38"/>
      <c r="E4" s="40"/>
      <c r="F4" s="41"/>
      <c r="H4" s="29"/>
      <c r="I4" s="30"/>
      <c r="J4" s="32"/>
      <c r="K4" s="37"/>
      <c r="L4" s="33"/>
      <c r="M4" s="71"/>
      <c r="N4" s="7"/>
      <c r="O4" s="10" t="e">
        <f>IF($A4="",NA(),$C4/10000)</f>
        <v>#N/A</v>
      </c>
      <c r="P4" s="10" t="e">
        <f>IF($A4="",NA(),$D4/10000)</f>
        <v>#N/A</v>
      </c>
      <c r="Q4" s="10" t="e">
        <f>IF($A4="",NA(),$E4/10000)</f>
        <v>#N/A</v>
      </c>
      <c r="R4" s="10" t="str">
        <f t="shared" ref="R4:R30" si="0">IF(OR(F4="",F4=0),"",(D4+F4)/10000)</f>
        <v/>
      </c>
      <c r="S4" s="1"/>
    </row>
    <row r="5" spans="1:19" x14ac:dyDescent="0.45">
      <c r="A5" s="59"/>
      <c r="B5" s="55"/>
      <c r="C5" s="54"/>
      <c r="D5" s="50"/>
      <c r="E5" s="60"/>
      <c r="F5" s="51"/>
      <c r="G5" s="8"/>
      <c r="H5" s="54"/>
      <c r="I5" s="55"/>
      <c r="J5" s="56"/>
      <c r="K5" s="57"/>
      <c r="L5" s="61"/>
      <c r="M5" s="58"/>
      <c r="N5" s="7"/>
      <c r="O5" s="10" t="e">
        <f>IF($A5="",NA(),$C5/10000)</f>
        <v>#N/A</v>
      </c>
      <c r="P5" s="10" t="e">
        <f>IF($A5="",NA(),$D5/10000)</f>
        <v>#N/A</v>
      </c>
      <c r="Q5" s="10" t="e">
        <f>IF($A5="",NA(),$E5/10000)</f>
        <v>#N/A</v>
      </c>
      <c r="R5" s="10" t="str">
        <f>IF(OR(F5="",F5=0),"",(D5+F5)/10000)</f>
        <v/>
      </c>
      <c r="S5" s="1"/>
    </row>
    <row r="6" spans="1:19" x14ac:dyDescent="0.45">
      <c r="A6" s="29"/>
      <c r="B6" s="30"/>
      <c r="C6" s="39"/>
      <c r="D6" s="38"/>
      <c r="E6" s="40"/>
      <c r="F6" s="41"/>
      <c r="H6" s="29"/>
      <c r="I6" s="30"/>
      <c r="J6" s="32"/>
      <c r="K6" s="37"/>
      <c r="L6" s="33"/>
      <c r="M6" s="43"/>
      <c r="N6" s="7"/>
      <c r="O6" s="10" t="e">
        <f t="shared" ref="O6:O32" si="1">IF($A6="",NA(),$C6/10000)</f>
        <v>#N/A</v>
      </c>
      <c r="P6" s="10" t="e">
        <f t="shared" ref="P6:P32" si="2">IF($A6="",NA(),$D6/10000)</f>
        <v>#N/A</v>
      </c>
      <c r="Q6" s="10" t="e">
        <f t="shared" ref="Q6:Q32" si="3">IF($A6="",NA(),$E6/10000)</f>
        <v>#N/A</v>
      </c>
      <c r="R6" s="10" t="str">
        <f t="shared" si="0"/>
        <v/>
      </c>
      <c r="S6" s="1"/>
    </row>
    <row r="7" spans="1:19" x14ac:dyDescent="0.45">
      <c r="A7" s="59"/>
      <c r="B7" s="55"/>
      <c r="C7" s="54"/>
      <c r="D7" s="50"/>
      <c r="E7" s="60"/>
      <c r="F7" s="51"/>
      <c r="G7" s="8"/>
      <c r="H7" s="54"/>
      <c r="I7" s="55"/>
      <c r="J7" s="56"/>
      <c r="K7" s="57"/>
      <c r="L7" s="61"/>
      <c r="M7" s="58"/>
      <c r="N7"/>
      <c r="O7" s="10" t="e">
        <f t="shared" si="1"/>
        <v>#N/A</v>
      </c>
      <c r="P7" s="10" t="e">
        <f t="shared" si="2"/>
        <v>#N/A</v>
      </c>
      <c r="Q7" s="10" t="e">
        <f t="shared" si="3"/>
        <v>#N/A</v>
      </c>
      <c r="R7" s="10" t="str">
        <f t="shared" si="0"/>
        <v/>
      </c>
      <c r="S7" s="1"/>
    </row>
    <row r="8" spans="1:19" x14ac:dyDescent="0.45">
      <c r="A8" s="29"/>
      <c r="B8" s="30"/>
      <c r="C8" s="39"/>
      <c r="D8" s="38"/>
      <c r="E8" s="40"/>
      <c r="F8" s="41"/>
      <c r="H8" s="29"/>
      <c r="I8" s="30"/>
      <c r="J8" s="32"/>
      <c r="K8" s="37"/>
      <c r="L8" s="33"/>
      <c r="M8" s="71"/>
      <c r="N8"/>
      <c r="O8" s="10" t="e">
        <f t="shared" si="1"/>
        <v>#N/A</v>
      </c>
      <c r="P8" s="10" t="e">
        <f t="shared" si="2"/>
        <v>#N/A</v>
      </c>
      <c r="Q8" s="10" t="e">
        <f t="shared" si="3"/>
        <v>#N/A</v>
      </c>
      <c r="R8" s="10" t="str">
        <f t="shared" si="0"/>
        <v/>
      </c>
      <c r="S8" s="1"/>
    </row>
    <row r="9" spans="1:19" x14ac:dyDescent="0.45">
      <c r="A9" s="59"/>
      <c r="B9" s="55"/>
      <c r="C9" s="54"/>
      <c r="D9" s="50"/>
      <c r="E9" s="60"/>
      <c r="F9" s="51"/>
      <c r="G9" s="8"/>
      <c r="H9" s="54"/>
      <c r="I9" s="55"/>
      <c r="J9" s="56"/>
      <c r="K9" s="57"/>
      <c r="L9" s="61"/>
      <c r="M9" s="70"/>
      <c r="N9"/>
      <c r="O9" s="10" t="e">
        <f t="shared" si="1"/>
        <v>#N/A</v>
      </c>
      <c r="P9" s="10" t="e">
        <f t="shared" si="2"/>
        <v>#N/A</v>
      </c>
      <c r="Q9" s="10" t="e">
        <f t="shared" si="3"/>
        <v>#N/A</v>
      </c>
      <c r="R9" s="10" t="str">
        <f t="shared" si="0"/>
        <v/>
      </c>
      <c r="S9" s="1"/>
    </row>
    <row r="10" spans="1:19" x14ac:dyDescent="0.45">
      <c r="A10" s="29"/>
      <c r="B10" s="30"/>
      <c r="C10" s="39"/>
      <c r="D10" s="38"/>
      <c r="E10" s="40"/>
      <c r="F10" s="41"/>
      <c r="H10" s="29"/>
      <c r="I10" s="30"/>
      <c r="J10" s="32"/>
      <c r="K10" s="37"/>
      <c r="L10" s="33"/>
      <c r="M10" s="43"/>
      <c r="N10"/>
      <c r="O10" s="10" t="e">
        <f t="shared" si="1"/>
        <v>#N/A</v>
      </c>
      <c r="P10" s="10" t="e">
        <f t="shared" si="2"/>
        <v>#N/A</v>
      </c>
      <c r="Q10" s="10" t="e">
        <f t="shared" si="3"/>
        <v>#N/A</v>
      </c>
      <c r="R10" s="10" t="str">
        <f t="shared" si="0"/>
        <v/>
      </c>
      <c r="S10" s="1"/>
    </row>
    <row r="11" spans="1:19" x14ac:dyDescent="0.45">
      <c r="A11" s="59"/>
      <c r="B11" s="55"/>
      <c r="C11" s="54"/>
      <c r="D11" s="50"/>
      <c r="E11" s="60"/>
      <c r="F11" s="51"/>
      <c r="G11" s="8"/>
      <c r="H11" s="54"/>
      <c r="I11" s="55"/>
      <c r="J11" s="56"/>
      <c r="K11" s="57"/>
      <c r="L11" s="61"/>
      <c r="M11" s="70"/>
      <c r="N11"/>
      <c r="O11" s="10" t="e">
        <f t="shared" si="1"/>
        <v>#N/A</v>
      </c>
      <c r="P11" s="10" t="e">
        <f t="shared" si="2"/>
        <v>#N/A</v>
      </c>
      <c r="Q11" s="10" t="e">
        <f t="shared" si="3"/>
        <v>#N/A</v>
      </c>
      <c r="R11" s="10" t="str">
        <f t="shared" si="0"/>
        <v/>
      </c>
      <c r="S11" s="1"/>
    </row>
    <row r="12" spans="1:19" x14ac:dyDescent="0.45">
      <c r="A12" s="29"/>
      <c r="B12" s="30"/>
      <c r="C12" s="39"/>
      <c r="D12" s="38"/>
      <c r="E12" s="40"/>
      <c r="F12" s="41"/>
      <c r="H12" s="29"/>
      <c r="I12" s="30"/>
      <c r="J12" s="32"/>
      <c r="K12" s="37"/>
      <c r="L12" s="33"/>
      <c r="M12" s="43"/>
      <c r="N12"/>
      <c r="O12" s="10" t="e">
        <f t="shared" si="1"/>
        <v>#N/A</v>
      </c>
      <c r="P12" s="10" t="e">
        <f t="shared" si="2"/>
        <v>#N/A</v>
      </c>
      <c r="Q12" s="10" t="e">
        <f t="shared" si="3"/>
        <v>#N/A</v>
      </c>
      <c r="R12" s="10" t="str">
        <f t="shared" si="0"/>
        <v/>
      </c>
      <c r="S12" s="1"/>
    </row>
    <row r="13" spans="1:19" x14ac:dyDescent="0.45">
      <c r="A13" s="59"/>
      <c r="B13" s="55"/>
      <c r="C13" s="54"/>
      <c r="D13" s="50"/>
      <c r="E13" s="60"/>
      <c r="F13" s="51"/>
      <c r="G13" s="8"/>
      <c r="H13" s="54"/>
      <c r="I13" s="55"/>
      <c r="J13" s="56"/>
      <c r="K13" s="57"/>
      <c r="L13" s="61"/>
      <c r="M13" s="70"/>
      <c r="N13"/>
      <c r="O13" s="10" t="e">
        <f t="shared" si="1"/>
        <v>#N/A</v>
      </c>
      <c r="P13" s="10" t="e">
        <f t="shared" si="2"/>
        <v>#N/A</v>
      </c>
      <c r="Q13" s="10" t="e">
        <f t="shared" si="3"/>
        <v>#N/A</v>
      </c>
      <c r="R13" s="10" t="str">
        <f t="shared" si="0"/>
        <v/>
      </c>
      <c r="S13" s="1"/>
    </row>
    <row r="14" spans="1:19" x14ac:dyDescent="0.45">
      <c r="A14" s="29"/>
      <c r="B14" s="30"/>
      <c r="C14" s="39"/>
      <c r="D14" s="38"/>
      <c r="E14" s="40"/>
      <c r="F14" s="41"/>
      <c r="H14" s="29"/>
      <c r="I14" s="30"/>
      <c r="J14" s="32"/>
      <c r="K14" s="37"/>
      <c r="L14" s="33"/>
      <c r="M14" s="71"/>
      <c r="N14"/>
      <c r="O14" s="10" t="e">
        <f t="shared" si="1"/>
        <v>#N/A</v>
      </c>
      <c r="P14" s="10" t="e">
        <f t="shared" si="2"/>
        <v>#N/A</v>
      </c>
      <c r="Q14" s="10" t="e">
        <f t="shared" si="3"/>
        <v>#N/A</v>
      </c>
      <c r="R14" s="10" t="str">
        <f t="shared" si="0"/>
        <v/>
      </c>
      <c r="S14" s="1"/>
    </row>
    <row r="15" spans="1:19" x14ac:dyDescent="0.45">
      <c r="A15" s="59"/>
      <c r="B15" s="55"/>
      <c r="C15" s="54"/>
      <c r="D15" s="50"/>
      <c r="E15" s="60"/>
      <c r="F15" s="51"/>
      <c r="G15" s="8"/>
      <c r="H15" s="54"/>
      <c r="I15" s="55"/>
      <c r="J15" s="56"/>
      <c r="K15" s="57"/>
      <c r="L15" s="61"/>
      <c r="M15" s="70"/>
      <c r="N15"/>
      <c r="O15" s="10" t="e">
        <f t="shared" si="1"/>
        <v>#N/A</v>
      </c>
      <c r="P15" s="10" t="e">
        <f t="shared" si="2"/>
        <v>#N/A</v>
      </c>
      <c r="Q15" s="10" t="e">
        <f t="shared" si="3"/>
        <v>#N/A</v>
      </c>
      <c r="R15" s="10" t="str">
        <f t="shared" si="0"/>
        <v/>
      </c>
      <c r="S15" s="1"/>
    </row>
    <row r="16" spans="1:19" x14ac:dyDescent="0.45">
      <c r="A16" s="29"/>
      <c r="B16" s="30"/>
      <c r="C16" s="39"/>
      <c r="D16" s="38"/>
      <c r="E16" s="40"/>
      <c r="F16" s="41"/>
      <c r="H16" s="29"/>
      <c r="I16" s="30"/>
      <c r="J16" s="32"/>
      <c r="K16" s="37"/>
      <c r="L16" s="33"/>
      <c r="M16" s="71"/>
      <c r="N16"/>
      <c r="O16" s="10" t="e">
        <f t="shared" si="1"/>
        <v>#N/A</v>
      </c>
      <c r="P16" s="10" t="e">
        <f t="shared" si="2"/>
        <v>#N/A</v>
      </c>
      <c r="Q16" s="10" t="e">
        <f t="shared" si="3"/>
        <v>#N/A</v>
      </c>
      <c r="R16" s="10" t="str">
        <f t="shared" si="0"/>
        <v/>
      </c>
      <c r="S16" s="1"/>
    </row>
    <row r="17" spans="1:19" x14ac:dyDescent="0.45">
      <c r="A17" s="59"/>
      <c r="B17" s="55"/>
      <c r="C17" s="54"/>
      <c r="D17" s="50"/>
      <c r="E17" s="60"/>
      <c r="F17" s="51"/>
      <c r="G17" s="8"/>
      <c r="H17" s="54"/>
      <c r="I17" s="55"/>
      <c r="J17" s="56"/>
      <c r="K17" s="57"/>
      <c r="L17" s="61"/>
      <c r="M17" s="58"/>
      <c r="N17"/>
      <c r="O17" s="10" t="e">
        <f t="shared" si="1"/>
        <v>#N/A</v>
      </c>
      <c r="P17" s="10" t="e">
        <f t="shared" si="2"/>
        <v>#N/A</v>
      </c>
      <c r="Q17" s="10" t="e">
        <f t="shared" si="3"/>
        <v>#N/A</v>
      </c>
      <c r="R17" s="10" t="str">
        <f t="shared" si="0"/>
        <v/>
      </c>
      <c r="S17" s="1"/>
    </row>
    <row r="18" spans="1:19" x14ac:dyDescent="0.45">
      <c r="A18" s="29"/>
      <c r="B18" s="30"/>
      <c r="C18" s="39"/>
      <c r="D18" s="38"/>
      <c r="E18" s="40"/>
      <c r="F18" s="41"/>
      <c r="H18" s="29"/>
      <c r="I18" s="30"/>
      <c r="J18" s="32"/>
      <c r="K18" s="37"/>
      <c r="L18" s="33"/>
      <c r="M18" s="71"/>
      <c r="N18"/>
      <c r="O18" s="10" t="e">
        <f t="shared" si="1"/>
        <v>#N/A</v>
      </c>
      <c r="P18" s="10" t="e">
        <f t="shared" si="2"/>
        <v>#N/A</v>
      </c>
      <c r="Q18" s="10" t="e">
        <f t="shared" si="3"/>
        <v>#N/A</v>
      </c>
      <c r="R18" s="10" t="str">
        <f t="shared" si="0"/>
        <v/>
      </c>
      <c r="S18" s="1"/>
    </row>
    <row r="19" spans="1:19" x14ac:dyDescent="0.45">
      <c r="A19" s="59"/>
      <c r="B19" s="55"/>
      <c r="C19" s="54"/>
      <c r="D19" s="50"/>
      <c r="E19" s="60"/>
      <c r="F19" s="51"/>
      <c r="G19" s="8"/>
      <c r="H19" s="54"/>
      <c r="I19" s="55"/>
      <c r="J19" s="56"/>
      <c r="K19" s="57"/>
      <c r="L19" s="61"/>
      <c r="M19" s="58"/>
      <c r="N19"/>
      <c r="O19" s="10" t="e">
        <f t="shared" si="1"/>
        <v>#N/A</v>
      </c>
      <c r="P19" s="10" t="e">
        <f t="shared" si="2"/>
        <v>#N/A</v>
      </c>
      <c r="Q19" s="10" t="e">
        <f t="shared" si="3"/>
        <v>#N/A</v>
      </c>
      <c r="R19" s="10" t="str">
        <f t="shared" si="0"/>
        <v/>
      </c>
      <c r="S19" s="1"/>
    </row>
    <row r="20" spans="1:19" x14ac:dyDescent="0.45">
      <c r="A20" s="29"/>
      <c r="B20" s="30"/>
      <c r="C20" s="39"/>
      <c r="D20" s="38"/>
      <c r="E20" s="40"/>
      <c r="F20" s="41"/>
      <c r="H20" s="29"/>
      <c r="I20" s="30"/>
      <c r="J20" s="32"/>
      <c r="K20" s="37"/>
      <c r="L20" s="33"/>
      <c r="M20" s="71"/>
      <c r="N20"/>
      <c r="O20" s="10" t="e">
        <f t="shared" si="1"/>
        <v>#N/A</v>
      </c>
      <c r="P20" s="10" t="e">
        <f t="shared" si="2"/>
        <v>#N/A</v>
      </c>
      <c r="Q20" s="10" t="e">
        <f t="shared" si="3"/>
        <v>#N/A</v>
      </c>
      <c r="R20" s="10" t="str">
        <f t="shared" si="0"/>
        <v/>
      </c>
      <c r="S20" s="1"/>
    </row>
    <row r="21" spans="1:19" x14ac:dyDescent="0.45">
      <c r="A21" s="59"/>
      <c r="B21" s="55"/>
      <c r="C21" s="54"/>
      <c r="D21" s="50"/>
      <c r="E21" s="60"/>
      <c r="F21" s="51"/>
      <c r="G21" s="8"/>
      <c r="H21" s="54"/>
      <c r="I21" s="55"/>
      <c r="J21" s="56"/>
      <c r="K21" s="57"/>
      <c r="L21" s="61"/>
      <c r="M21" s="70"/>
      <c r="N21"/>
      <c r="O21" s="10" t="e">
        <f t="shared" si="1"/>
        <v>#N/A</v>
      </c>
      <c r="P21" s="10" t="e">
        <f t="shared" si="2"/>
        <v>#N/A</v>
      </c>
      <c r="Q21" s="10" t="e">
        <f t="shared" si="3"/>
        <v>#N/A</v>
      </c>
      <c r="R21" s="10" t="str">
        <f t="shared" si="0"/>
        <v/>
      </c>
      <c r="S21" s="1"/>
    </row>
    <row r="22" spans="1:19" x14ac:dyDescent="0.45">
      <c r="A22" s="29"/>
      <c r="B22" s="30"/>
      <c r="C22" s="39"/>
      <c r="D22" s="38"/>
      <c r="E22" s="40"/>
      <c r="F22" s="41"/>
      <c r="H22" s="29"/>
      <c r="I22" s="30"/>
      <c r="J22" s="32"/>
      <c r="K22" s="37"/>
      <c r="L22" s="33"/>
      <c r="M22" s="71"/>
      <c r="N22"/>
      <c r="O22" s="10" t="e">
        <f t="shared" si="1"/>
        <v>#N/A</v>
      </c>
      <c r="P22" s="10" t="e">
        <f t="shared" si="2"/>
        <v>#N/A</v>
      </c>
      <c r="Q22" s="10" t="e">
        <f t="shared" si="3"/>
        <v>#N/A</v>
      </c>
      <c r="R22" s="10" t="str">
        <f t="shared" si="0"/>
        <v/>
      </c>
      <c r="S22" s="1"/>
    </row>
    <row r="23" spans="1:19" x14ac:dyDescent="0.45">
      <c r="A23" s="59"/>
      <c r="B23" s="55"/>
      <c r="C23" s="54"/>
      <c r="D23" s="50"/>
      <c r="E23" s="60"/>
      <c r="F23" s="51"/>
      <c r="G23" s="8"/>
      <c r="H23" s="54"/>
      <c r="I23" s="55"/>
      <c r="J23" s="56"/>
      <c r="K23" s="57"/>
      <c r="L23" s="61"/>
      <c r="M23" s="70"/>
      <c r="N23"/>
      <c r="O23" s="10" t="e">
        <f t="shared" si="1"/>
        <v>#N/A</v>
      </c>
      <c r="P23" s="10" t="e">
        <f t="shared" si="2"/>
        <v>#N/A</v>
      </c>
      <c r="Q23" s="10" t="e">
        <f t="shared" si="3"/>
        <v>#N/A</v>
      </c>
      <c r="R23" s="10" t="str">
        <f t="shared" si="0"/>
        <v/>
      </c>
      <c r="S23" s="1"/>
    </row>
    <row r="24" spans="1:19" x14ac:dyDescent="0.45">
      <c r="A24" s="29"/>
      <c r="B24" s="30"/>
      <c r="C24" s="39"/>
      <c r="D24" s="38"/>
      <c r="E24" s="40"/>
      <c r="F24" s="41"/>
      <c r="H24" s="29"/>
      <c r="I24" s="30"/>
      <c r="J24" s="32"/>
      <c r="K24" s="37"/>
      <c r="L24" s="33"/>
      <c r="M24" s="43"/>
      <c r="N24"/>
      <c r="O24" s="10" t="e">
        <f t="shared" si="1"/>
        <v>#N/A</v>
      </c>
      <c r="P24" s="10" t="e">
        <f t="shared" si="2"/>
        <v>#N/A</v>
      </c>
      <c r="Q24" s="10" t="e">
        <f t="shared" si="3"/>
        <v>#N/A</v>
      </c>
      <c r="R24" s="10" t="str">
        <f t="shared" si="0"/>
        <v/>
      </c>
      <c r="S24" s="1"/>
    </row>
    <row r="25" spans="1:19" x14ac:dyDescent="0.45">
      <c r="A25" s="59"/>
      <c r="B25" s="55"/>
      <c r="C25" s="54"/>
      <c r="D25" s="50"/>
      <c r="E25" s="60"/>
      <c r="F25" s="51"/>
      <c r="G25" s="8"/>
      <c r="H25" s="54"/>
      <c r="I25" s="55"/>
      <c r="J25" s="56"/>
      <c r="K25" s="57"/>
      <c r="L25" s="61"/>
      <c r="M25" s="70"/>
      <c r="N25"/>
      <c r="O25" s="10" t="e">
        <f t="shared" si="1"/>
        <v>#N/A</v>
      </c>
      <c r="P25" s="10" t="e">
        <f t="shared" si="2"/>
        <v>#N/A</v>
      </c>
      <c r="Q25" s="10" t="e">
        <f t="shared" si="3"/>
        <v>#N/A</v>
      </c>
      <c r="R25" s="10" t="str">
        <f t="shared" si="0"/>
        <v/>
      </c>
      <c r="S25" s="1"/>
    </row>
    <row r="26" spans="1:19" x14ac:dyDescent="0.45">
      <c r="A26" s="29"/>
      <c r="B26" s="30"/>
      <c r="C26" s="39"/>
      <c r="D26" s="38"/>
      <c r="E26" s="40"/>
      <c r="F26" s="41"/>
      <c r="H26" s="29"/>
      <c r="I26" s="30"/>
      <c r="J26" s="32"/>
      <c r="K26" s="37"/>
      <c r="L26" s="33"/>
      <c r="M26" s="43"/>
      <c r="N26"/>
      <c r="O26" s="10" t="e">
        <f t="shared" si="1"/>
        <v>#N/A</v>
      </c>
      <c r="P26" s="10" t="e">
        <f t="shared" si="2"/>
        <v>#N/A</v>
      </c>
      <c r="Q26" s="10" t="e">
        <f t="shared" si="3"/>
        <v>#N/A</v>
      </c>
      <c r="R26" s="10" t="str">
        <f t="shared" si="0"/>
        <v/>
      </c>
      <c r="S26" s="1"/>
    </row>
    <row r="27" spans="1:19" x14ac:dyDescent="0.45">
      <c r="A27" s="59"/>
      <c r="B27" s="55"/>
      <c r="C27" s="54"/>
      <c r="D27" s="50"/>
      <c r="E27" s="60"/>
      <c r="F27" s="51"/>
      <c r="G27" s="8"/>
      <c r="H27" s="54"/>
      <c r="I27" s="55"/>
      <c r="J27" s="56"/>
      <c r="K27" s="57"/>
      <c r="L27" s="61"/>
      <c r="M27" s="70"/>
      <c r="N27"/>
      <c r="O27" s="10" t="e">
        <f t="shared" si="1"/>
        <v>#N/A</v>
      </c>
      <c r="P27" s="10" t="e">
        <f t="shared" si="2"/>
        <v>#N/A</v>
      </c>
      <c r="Q27" s="10" t="e">
        <f t="shared" si="3"/>
        <v>#N/A</v>
      </c>
      <c r="R27" s="10" t="str">
        <f t="shared" si="0"/>
        <v/>
      </c>
      <c r="S27" s="1"/>
    </row>
    <row r="28" spans="1:19" x14ac:dyDescent="0.45">
      <c r="A28" s="29"/>
      <c r="B28" s="30"/>
      <c r="C28" s="39"/>
      <c r="D28" s="38"/>
      <c r="E28" s="40"/>
      <c r="F28" s="41"/>
      <c r="H28" s="29"/>
      <c r="I28" s="30"/>
      <c r="J28" s="32"/>
      <c r="K28" s="37"/>
      <c r="L28" s="33"/>
      <c r="M28" s="71"/>
      <c r="N28"/>
      <c r="O28" s="10" t="e">
        <f t="shared" si="1"/>
        <v>#N/A</v>
      </c>
      <c r="P28" s="10" t="e">
        <f t="shared" si="2"/>
        <v>#N/A</v>
      </c>
      <c r="Q28" s="10" t="e">
        <f t="shared" si="3"/>
        <v>#N/A</v>
      </c>
      <c r="R28" s="10" t="str">
        <f t="shared" si="0"/>
        <v/>
      </c>
      <c r="S28" s="1"/>
    </row>
    <row r="29" spans="1:19" x14ac:dyDescent="0.45">
      <c r="A29" s="59"/>
      <c r="B29" s="55"/>
      <c r="C29" s="54"/>
      <c r="D29" s="50"/>
      <c r="E29" s="60"/>
      <c r="F29" s="51"/>
      <c r="G29" s="8"/>
      <c r="H29" s="54"/>
      <c r="I29" s="55"/>
      <c r="J29" s="56"/>
      <c r="K29" s="57"/>
      <c r="L29" s="61"/>
      <c r="M29" s="70"/>
      <c r="N29"/>
      <c r="O29" s="10" t="e">
        <f t="shared" si="1"/>
        <v>#N/A</v>
      </c>
      <c r="P29" s="10" t="e">
        <f t="shared" si="2"/>
        <v>#N/A</v>
      </c>
      <c r="Q29" s="10" t="e">
        <f t="shared" si="3"/>
        <v>#N/A</v>
      </c>
      <c r="R29" s="10" t="str">
        <f t="shared" si="0"/>
        <v/>
      </c>
      <c r="S29" s="1"/>
    </row>
    <row r="30" spans="1:19" x14ac:dyDescent="0.45">
      <c r="A30" s="29"/>
      <c r="B30" s="30"/>
      <c r="C30" s="39"/>
      <c r="D30" s="38"/>
      <c r="E30" s="40"/>
      <c r="F30" s="41"/>
      <c r="H30" s="29"/>
      <c r="I30" s="30"/>
      <c r="J30" s="32"/>
      <c r="K30" s="37"/>
      <c r="L30" s="33"/>
      <c r="M30" s="43"/>
      <c r="N30"/>
      <c r="O30" s="10" t="e">
        <f t="shared" si="1"/>
        <v>#N/A</v>
      </c>
      <c r="P30" s="10" t="e">
        <f t="shared" si="2"/>
        <v>#N/A</v>
      </c>
      <c r="Q30" s="10" t="e">
        <f t="shared" si="3"/>
        <v>#N/A</v>
      </c>
      <c r="R30" s="10" t="str">
        <f t="shared" si="0"/>
        <v/>
      </c>
      <c r="S30" s="1"/>
    </row>
    <row r="31" spans="1:19" x14ac:dyDescent="0.45">
      <c r="A31" s="59"/>
      <c r="B31" s="55"/>
      <c r="C31" s="54"/>
      <c r="D31" s="50"/>
      <c r="E31" s="60"/>
      <c r="F31" s="51"/>
      <c r="G31" s="8"/>
      <c r="H31" s="54"/>
      <c r="I31" s="55"/>
      <c r="J31" s="56"/>
      <c r="K31" s="57"/>
      <c r="L31" s="61"/>
      <c r="M31" s="70"/>
      <c r="O31" s="10" t="e">
        <f t="shared" si="1"/>
        <v>#N/A</v>
      </c>
      <c r="P31" s="10" t="e">
        <f t="shared" si="2"/>
        <v>#N/A</v>
      </c>
      <c r="Q31" s="10" t="e">
        <f t="shared" si="3"/>
        <v>#N/A</v>
      </c>
      <c r="R31" s="10" t="str">
        <f t="shared" ref="R31:R32" si="4">IF(OR(F31="",F31=0),"",(D31+F31)/10000)</f>
        <v/>
      </c>
    </row>
    <row r="32" spans="1:19" x14ac:dyDescent="0.45">
      <c r="A32" s="31"/>
      <c r="B32" s="62"/>
      <c r="C32" s="68"/>
      <c r="D32" s="67"/>
      <c r="E32" s="69"/>
      <c r="F32" s="41"/>
      <c r="G32" s="8"/>
      <c r="H32" s="31"/>
      <c r="I32" s="62"/>
      <c r="J32" s="72"/>
      <c r="K32" s="73"/>
      <c r="L32" s="71"/>
      <c r="M32" s="71"/>
      <c r="O32" s="10" t="e">
        <f t="shared" si="1"/>
        <v>#N/A</v>
      </c>
      <c r="P32" s="10" t="e">
        <f t="shared" si="2"/>
        <v>#N/A</v>
      </c>
      <c r="Q32" s="10" t="e">
        <f t="shared" si="3"/>
        <v>#N/A</v>
      </c>
      <c r="R32" s="10" t="str">
        <f t="shared" si="4"/>
        <v/>
      </c>
    </row>
    <row r="33" spans="1:7" x14ac:dyDescent="0.45">
      <c r="A33" s="1" t="s">
        <v>35</v>
      </c>
      <c r="G33" s="8"/>
    </row>
    <row r="34" spans="1:7" x14ac:dyDescent="0.45">
      <c r="G34" s="8"/>
    </row>
  </sheetData>
  <mergeCells count="2">
    <mergeCell ref="A1:D1"/>
    <mergeCell ref="H1:K1"/>
  </mergeCells>
  <phoneticPr fontId="2"/>
  <conditionalFormatting sqref="E32">
    <cfRule type="expression" dxfId="7" priority="3">
      <formula>$E32&lt;0</formula>
    </cfRule>
  </conditionalFormatting>
  <conditionalFormatting sqref="L32">
    <cfRule type="expression" dxfId="6" priority="4">
      <formula>$L32&lt;0</formula>
    </cfRule>
  </conditionalFormatting>
  <conditionalFormatting sqref="E3:E31">
    <cfRule type="expression" dxfId="1" priority="1">
      <formula>$E3&lt;0</formula>
    </cfRule>
  </conditionalFormatting>
  <conditionalFormatting sqref="L3:L31">
    <cfRule type="expression" dxfId="0" priority="2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4</vt:i4>
      </vt:variant>
    </vt:vector>
  </HeadingPairs>
  <TitlesOfParts>
    <vt:vector size="8" baseType="lpstr">
      <vt:lpstr>レポート</vt:lpstr>
      <vt:lpstr>合計データ</vt:lpstr>
      <vt:lpstr>合計データ2</vt:lpstr>
      <vt:lpstr>合計データ3</vt:lpstr>
      <vt:lpstr>合計データ!Print_Area</vt:lpstr>
      <vt:lpstr>合計データ2!Print_Area</vt:lpstr>
      <vt:lpstr>合計データ3!Print_Area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中村義洋</dc:creator>
  <dc:description/>
  <cp:lastModifiedBy>中村義洋</cp:lastModifiedBy>
  <cp:revision>3</cp:revision>
  <cp:lastPrinted>2026-01-21T05:42:49Z</cp:lastPrinted>
  <dcterms:created xsi:type="dcterms:W3CDTF">2026-01-21T04:52:34Z</dcterms:created>
  <dcterms:modified xsi:type="dcterms:W3CDTF">2026-01-28T00:27:59Z</dcterms:modified>
  <dc:language>ja-JP</dc:language>
</cp:coreProperties>
</file>