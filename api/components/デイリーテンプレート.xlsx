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nakamura.yos_redhors\Documents\GitHub\rht-hotel\api\components\"/>
    </mc:Choice>
  </mc:AlternateContent>
  <xr:revisionPtr revIDLastSave="0" documentId="13_ncr:1_{4117D3E1-66B9-4F6C-B2F3-33A03A0D7BC3}" xr6:coauthVersionLast="47" xr6:coauthVersionMax="47" xr10:uidLastSave="{00000000-0000-0000-0000-000000000000}"/>
  <bookViews>
    <workbookView xWindow="1125" yWindow="-20145" windowWidth="30345" windowHeight="18630" tabRatio="500" xr2:uid="{00000000-000D-0000-FFFF-FFFF00000000}"/>
  </bookViews>
  <sheets>
    <sheet name="レポート" sheetId="1" r:id="rId1"/>
    <sheet name="合計データ" sheetId="2" r:id="rId2"/>
  </sheets>
  <definedNames>
    <definedName name="_xlnm.Print_Area" localSheetId="1">合計データ!$A$1:$N$50</definedName>
    <definedName name="_xlnm.Print_Titles" localSheetId="0">レポート!$1:$1</definedName>
    <definedName name="稼働率">OFFSET(合計データ!$J$11, 0, 0, COUNTA(合計データ!$H$11:$H$1000), 1)</definedName>
    <definedName name="稼働率差異">OFFSET(合計データ!$K$11, 0, 0, COUNTA(合計データ!$H$11:$H$1000), 1)</definedName>
    <definedName name="稼働率施設名">OFFSET(合計データ!$H$11, 0, 0, COUNTA(合計データ!$H$11:$H$1000), 1)</definedName>
    <definedName name="計画稼働率">OFFSET(合計データ!$I$11, 0, 0, COUNTA(合計データ!$H$11:$H$1000), 1)</definedName>
    <definedName name="計画売上">OFFSET(合計データ!$O$11, 0, 0, COUNTA(合計データ!$A$11:$A$1000), 1)</definedName>
    <definedName name="売上">OFFSET(合計データ!$P$11, 0, 0, COUNTA(合計データ!$A$11:$A$1000), 1)</definedName>
    <definedName name="売上差異">OFFSET(合計データ!$Q$11, 0, 0, COUNTA(合計データ!$A$11:$A$1000), 1)</definedName>
    <definedName name="売上施設名">OFFSET(合計データ!$A$11, 0, 0, COUNTA(合計データ!$A$11:$A$1000), 1)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8" i="1" l="1"/>
  <c r="G38" i="1"/>
  <c r="F38" i="1"/>
  <c r="E38" i="1"/>
  <c r="D38" i="1"/>
  <c r="C38" i="1"/>
  <c r="H37" i="1"/>
  <c r="G37" i="1"/>
  <c r="F37" i="1"/>
  <c r="E37" i="1"/>
  <c r="D37" i="1"/>
  <c r="C37" i="1"/>
  <c r="H36" i="1"/>
  <c r="G36" i="1"/>
  <c r="F36" i="1"/>
  <c r="E36" i="1"/>
  <c r="D36" i="1"/>
  <c r="H35" i="1"/>
  <c r="G35" i="1"/>
  <c r="F35" i="1"/>
  <c r="E35" i="1"/>
  <c r="D35" i="1"/>
  <c r="C35" i="1"/>
  <c r="W5" i="2"/>
  <c r="X5" i="2"/>
  <c r="Y5" i="2"/>
  <c r="Z5" i="2"/>
  <c r="AA5" i="2"/>
  <c r="V5" i="2"/>
  <c r="W3" i="2"/>
  <c r="X3" i="2"/>
  <c r="Y3" i="2"/>
  <c r="Z3" i="2"/>
  <c r="AA3" i="2"/>
  <c r="V3" i="2"/>
  <c r="C36" i="1" s="1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11" i="2"/>
  <c r="A119" i="1"/>
  <c r="S7" i="2"/>
  <c r="R7" i="2"/>
  <c r="Q7" i="2"/>
  <c r="P7" i="2"/>
  <c r="O7" i="2"/>
  <c r="S6" i="2"/>
  <c r="R6" i="2"/>
  <c r="Q6" i="2"/>
  <c r="P6" i="2"/>
  <c r="O6" i="2"/>
  <c r="S5" i="2"/>
  <c r="R5" i="2"/>
  <c r="Q5" i="2"/>
  <c r="P5" i="2"/>
  <c r="O5" i="2"/>
  <c r="S4" i="2"/>
  <c r="R4" i="2"/>
  <c r="Q4" i="2"/>
  <c r="P4" i="2"/>
  <c r="O4" i="2"/>
  <c r="S3" i="2"/>
  <c r="R3" i="2"/>
  <c r="Q3" i="2"/>
  <c r="P3" i="2"/>
  <c r="O3" i="2"/>
  <c r="S2" i="2"/>
  <c r="R2" i="2"/>
  <c r="Q2" i="2"/>
  <c r="P2" i="2"/>
  <c r="O2" i="2"/>
  <c r="A79" i="1"/>
  <c r="A1" i="1"/>
</calcChain>
</file>

<file path=xl/sharedStrings.xml><?xml version="1.0" encoding="utf-8"?>
<sst xmlns="http://schemas.openxmlformats.org/spreadsheetml/2006/main" count="68" uniqueCount="41">
  <si>
    <t>月度</t>
  </si>
  <si>
    <t>計画売上</t>
  </si>
  <si>
    <t>確定泊数</t>
  </si>
  <si>
    <t>計画稼働率</t>
  </si>
  <si>
    <t>前日集計日</t>
  </si>
  <si>
    <t>前日実績売上</t>
  </si>
  <si>
    <t>前日確定泊数</t>
  </si>
  <si>
    <t>販売可能室数</t>
  </si>
  <si>
    <t>ブロック数</t>
  </si>
  <si>
    <t>正味販売可能室数</t>
  </si>
  <si>
    <t>計画売上（百万円)</t>
    <rPh sb="5" eb="8">
      <t>ヒャクマンエン</t>
    </rPh>
    <phoneticPr fontId="3"/>
  </si>
  <si>
    <t>売上　達成率</t>
    <rPh sb="0" eb="2">
      <t>ウリアゲ</t>
    </rPh>
    <rPh sb="3" eb="6">
      <t>タッセイリツ</t>
    </rPh>
    <phoneticPr fontId="3"/>
  </si>
  <si>
    <t>稼働率　前日対比</t>
    <rPh sb="0" eb="3">
      <t>カドウリツ</t>
    </rPh>
    <rPh sb="4" eb="8">
      <t>ゼンジツタイヒ</t>
    </rPh>
    <phoneticPr fontId="3"/>
  </si>
  <si>
    <t>稼働率　達成率</t>
    <rPh sb="0" eb="3">
      <t>カドウリツ</t>
    </rPh>
    <rPh sb="4" eb="7">
      <t>タッセイリツ</t>
    </rPh>
    <phoneticPr fontId="3"/>
  </si>
  <si>
    <t>前年売上</t>
  </si>
  <si>
    <t>前年比差異(売上)</t>
  </si>
  <si>
    <t>前年稼働率</t>
  </si>
  <si>
    <t>前年比差異(稼働率)</t>
  </si>
  <si>
    <t>売上差異</t>
    <phoneticPr fontId="3"/>
  </si>
  <si>
    <t>計画売上（万円)</t>
    <rPh sb="5" eb="6">
      <t>マン</t>
    </rPh>
    <rPh sb="6" eb="7">
      <t>エン</t>
    </rPh>
    <phoneticPr fontId="3"/>
  </si>
  <si>
    <t>ADR</t>
    <phoneticPr fontId="3"/>
  </si>
  <si>
    <t>RevPAR</t>
    <phoneticPr fontId="3"/>
  </si>
  <si>
    <t>施設名</t>
  </si>
  <si>
    <t>売上差異</t>
  </si>
  <si>
    <t>稼働率差異</t>
  </si>
  <si>
    <t>確定泊数</t>
    <phoneticPr fontId="3"/>
  </si>
  <si>
    <t>売上</t>
    <phoneticPr fontId="3"/>
  </si>
  <si>
    <t>稼働率</t>
    <phoneticPr fontId="3"/>
  </si>
  <si>
    <t>前日稼働率</t>
    <phoneticPr fontId="3"/>
  </si>
  <si>
    <t>売上（百万円)</t>
    <rPh sb="3" eb="6">
      <t>ヒャクマンエン</t>
    </rPh>
    <phoneticPr fontId="3"/>
  </si>
  <si>
    <t>売上（万円)</t>
    <rPh sb="3" eb="4">
      <t>マン</t>
    </rPh>
    <rPh sb="4" eb="5">
      <t>エン</t>
    </rPh>
    <phoneticPr fontId="3"/>
  </si>
  <si>
    <t>2026-01</t>
  </si>
  <si>
    <t>2026-02</t>
  </si>
  <si>
    <t>2026-03</t>
  </si>
  <si>
    <t>2026-04</t>
  </si>
  <si>
    <t>2026-05</t>
  </si>
  <si>
    <t>2026-06</t>
  </si>
  <si>
    <t>計画対比</t>
    <rPh sb="0" eb="2">
      <t>ケイカク</t>
    </rPh>
    <rPh sb="2" eb="4">
      <t>タイヒ</t>
    </rPh>
    <phoneticPr fontId="3"/>
  </si>
  <si>
    <t>ADR計画</t>
    <rPh sb="3" eb="5">
      <t>ケイカク</t>
    </rPh>
    <phoneticPr fontId="3"/>
  </si>
  <si>
    <t>RevPAR計画</t>
    <rPh sb="6" eb="8">
      <t>ケイカク</t>
    </rPh>
    <phoneticPr fontId="3"/>
  </si>
  <si>
    <t>x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</si>
</sst>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76" formatCode="0.0%"/>
  </numFmts>
  <fonts count="13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b/>
      <sz val="16"/>
      <color rgb="FF000000"/>
      <name val="Noto Sans JP"/>
      <family val="2"/>
      <charset val="128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  <font>
      <sz val="9"/>
      <color rgb="FF000000"/>
      <name val="Noto Sans JP"/>
      <family val="3"/>
      <charset val="128"/>
    </font>
    <font>
      <sz val="9"/>
      <name val="Arial"/>
      <family val="2"/>
    </font>
    <font>
      <sz val="11"/>
      <color rgb="FF000000"/>
      <name val="Noto Sans JP"/>
      <family val="3"/>
      <charset val="128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dotted">
        <color theme="0" tint="-0.24994659260841701"/>
      </bottom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41" fontId="1" fillId="0" borderId="0" applyBorder="0" applyAlignment="0" applyProtection="0"/>
    <xf numFmtId="9" fontId="8" fillId="0" borderId="0" applyFont="0" applyFill="0" applyBorder="0" applyAlignment="0" applyProtection="0">
      <alignment vertical="center"/>
    </xf>
    <xf numFmtId="41" fontId="1" fillId="0" borderId="0" applyBorder="0" applyAlignment="0" applyProtection="0"/>
  </cellStyleXfs>
  <cellXfs count="26">
    <xf numFmtId="0" fontId="0" fillId="0" borderId="0" xfId="0"/>
    <xf numFmtId="0" fontId="4" fillId="0" borderId="0" xfId="0" applyFont="1"/>
    <xf numFmtId="41" fontId="5" fillId="0" borderId="0" xfId="1" applyFont="1"/>
    <xf numFmtId="9" fontId="4" fillId="2" borderId="1" xfId="2" applyFont="1" applyFill="1" applyBorder="1" applyAlignment="1"/>
    <xf numFmtId="176" fontId="1" fillId="2" borderId="1" xfId="1" applyNumberFormat="1" applyFill="1" applyBorder="1"/>
    <xf numFmtId="0" fontId="6" fillId="0" borderId="1" xfId="0" applyFont="1" applyBorder="1"/>
    <xf numFmtId="41" fontId="7" fillId="0" borderId="1" xfId="1" applyFont="1" applyBorder="1"/>
    <xf numFmtId="41" fontId="1" fillId="3" borderId="1" xfId="1" applyFill="1" applyBorder="1" applyAlignment="1"/>
    <xf numFmtId="0" fontId="4" fillId="0" borderId="1" xfId="0" applyFont="1" applyBorder="1"/>
    <xf numFmtId="41" fontId="5" fillId="0" borderId="1" xfId="3" applyFont="1" applyBorder="1"/>
    <xf numFmtId="176" fontId="4" fillId="0" borderId="1" xfId="0" applyNumberFormat="1" applyFont="1" applyBorder="1"/>
    <xf numFmtId="3" fontId="5" fillId="0" borderId="0" xfId="3" applyNumberFormat="1" applyFont="1" applyBorder="1"/>
    <xf numFmtId="3" fontId="5" fillId="0" borderId="0" xfId="0" applyNumberFormat="1" applyFont="1"/>
    <xf numFmtId="3" fontId="4" fillId="0" borderId="0" xfId="0" applyNumberFormat="1" applyFont="1"/>
    <xf numFmtId="176" fontId="5" fillId="0" borderId="0" xfId="3" applyNumberFormat="1" applyFont="1" applyBorder="1"/>
    <xf numFmtId="176" fontId="4" fillId="0" borderId="0" xfId="0" applyNumberFormat="1" applyFont="1"/>
    <xf numFmtId="3" fontId="5" fillId="3" borderId="1" xfId="3" applyNumberFormat="1" applyFont="1" applyFill="1" applyBorder="1" applyAlignment="1"/>
    <xf numFmtId="0" fontId="6" fillId="0" borderId="3" xfId="0" applyFont="1" applyBorder="1"/>
    <xf numFmtId="0" fontId="6" fillId="0" borderId="3" xfId="0" applyFont="1" applyBorder="1" applyAlignment="1">
      <alignment horizontal="right"/>
    </xf>
    <xf numFmtId="0" fontId="9" fillId="0" borderId="2" xfId="0" applyFont="1" applyBorder="1"/>
    <xf numFmtId="41" fontId="10" fillId="0" borderId="2" xfId="1" applyFont="1" applyBorder="1"/>
    <xf numFmtId="0" fontId="9" fillId="0" borderId="0" xfId="0" applyFont="1"/>
    <xf numFmtId="0" fontId="11" fillId="3" borderId="0" xfId="0" applyFont="1" applyFill="1"/>
    <xf numFmtId="41" fontId="12" fillId="3" borderId="0" xfId="1" applyFont="1" applyFill="1" applyBorder="1"/>
    <xf numFmtId="0" fontId="0" fillId="0" borderId="0" xfId="0" applyAlignment="1">
      <alignment horizontal="center" wrapText="1"/>
    </xf>
    <xf numFmtId="0" fontId="2" fillId="0" borderId="0" xfId="0" applyFont="1" applyAlignment="1">
      <alignment horizontal="center"/>
    </xf>
  </cellXfs>
  <cellStyles count="4">
    <cellStyle name="パーセント" xfId="2" builtinId="5"/>
    <cellStyle name="桁区切り" xfId="1" builtinId="6"/>
    <cellStyle name="桁区切り 2" xfId="3" xr:uid="{FADD5BB4-22B4-4CE0-8B7D-319EB05B36C7}"/>
    <cellStyle name="標準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売上　計画ｘ見込み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096651099889675E-2"/>
          <c:y val="0.11968056541999413"/>
          <c:w val="0.95582888038701108"/>
          <c:h val="0.67783047793926587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合計データ!$O$1</c:f>
              <c:strCache>
                <c:ptCount val="1"/>
                <c:pt idx="0">
                  <c:v> 計画売上（百万円)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合計データ!$O$2:$O$7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合計データ!$P$1</c:f>
              <c:strCache>
                <c:ptCount val="1"/>
                <c:pt idx="0">
                  <c:v> 売上（百万円)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65000"/>
                    <a:lumMod val="110000"/>
                    <a:tint val="67000"/>
                  </a:schemeClr>
                </a:gs>
                <a:gs pos="50000">
                  <a:schemeClr val="accent1">
                    <a:tint val="65000"/>
                    <a:lumMod val="105000"/>
                    <a:tint val="73000"/>
                  </a:schemeClr>
                </a:gs>
                <a:gs pos="100000">
                  <a:schemeClr val="accent1">
                    <a:tint val="65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65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_(* #,##0_);_(* \(#,##0\);_(* "-"_);_(@_)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2"/>
          <c:tx>
            <c:strRef>
              <c:f>合計データ!$Q$1</c:f>
              <c:strCache>
                <c:ptCount val="1"/>
                <c:pt idx="0">
                  <c:v> 売上　達成率 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合計データ!$Q$2:$Q$7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 b="1"/>
              <a:t>稼働率　計画ｘ見込み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8.1844444444444428E-2"/>
          <c:w val="0.95565079365079364"/>
          <c:h val="0.72437638888888889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合計データ!$I$1</c:f>
              <c:strCache>
                <c:ptCount val="1"/>
                <c:pt idx="0">
                  <c:v>前日稼働率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合計データ!$I$2:$I$7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合計データ!$S$1</c:f>
              <c:strCache>
                <c:ptCount val="1"/>
                <c:pt idx="0">
                  <c:v> 稼働率　前日対比 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合計データ!$S$2:$S$7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合計データ!$R$1</c:f>
              <c:strCache>
                <c:ptCount val="1"/>
                <c:pt idx="0">
                  <c:v> 稼働率　達成率 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合計データ!$R$2:$R$7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87589682539682545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/>
              <a:t>売上　計画ｘ</a:t>
            </a:r>
            <a:r>
              <a:rPr lang="ja-JP" altLang="en-US"/>
              <a:t>見込み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合計データ!$O$10</c:f>
              <c:strCache>
                <c:ptCount val="1"/>
                <c:pt idx="0">
                  <c:v> 計画売上（万円)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合計データ!$A$11:$A$40</c:f>
              <c:strCache>
                <c:ptCount val="1"/>
                <c:pt idx="0">
                  <c:v>x</c:v>
                </c:pt>
              </c:strCache>
            </c:strRef>
          </c:cat>
          <c:val>
            <c:numRef>
              <c:f>合計データ!$O$11:$O$40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E88-495D-A3AB-639F9D93E0D8}"/>
            </c:ext>
          </c:extLst>
        </c:ser>
        <c:ser>
          <c:idx val="1"/>
          <c:order val="1"/>
          <c:tx>
            <c:strRef>
              <c:f>合計データ!$P$10</c:f>
              <c:strCache>
                <c:ptCount val="1"/>
                <c:pt idx="0">
                  <c:v> 売上（万円) 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 w="9525" cap="flat" cmpd="sng" algn="ctr">
              <a:solidFill>
                <a:schemeClr val="accent1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合計データ!$A$11:$A$40</c:f>
              <c:strCache>
                <c:ptCount val="1"/>
                <c:pt idx="0">
                  <c:v>x</c:v>
                </c:pt>
              </c:strCache>
            </c:strRef>
          </c:cat>
          <c:val>
            <c:numRef>
              <c:f>合計データ!$P$11:$P$40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E88-495D-A3AB-639F9D93E0D8}"/>
            </c:ext>
          </c:extLst>
        </c:ser>
        <c:ser>
          <c:idx val="2"/>
          <c:order val="2"/>
          <c:tx>
            <c:strRef>
              <c:f>合計データ!$Q$10</c:f>
              <c:strCache>
                <c:ptCount val="1"/>
                <c:pt idx="0">
                  <c:v> 売上差異 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#,##0_);[Red]\(#,##0\)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合計データ!$A$11:$A$40</c:f>
              <c:strCache>
                <c:ptCount val="1"/>
                <c:pt idx="0">
                  <c:v>x</c:v>
                </c:pt>
              </c:strCache>
            </c:strRef>
          </c:cat>
          <c:val>
            <c:numRef>
              <c:f>合計データ!$Q$11:$Q$40</c:f>
              <c:numCache>
                <c:formatCode>#,##0</c:formatCode>
                <c:ptCount val="3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E88-495D-A3AB-639F9D93E0D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稼働率</a:t>
            </a:r>
            <a:r>
              <a:rPr lang="ja-JP"/>
              <a:t>　計画ｘ</a:t>
            </a:r>
            <a:r>
              <a:rPr lang="ja-JP" altLang="en-US"/>
              <a:t>見込み</a:t>
            </a:r>
            <a:endParaRPr lang="en-US"/>
          </a:p>
          <a:p>
            <a:pPr>
              <a:defRPr/>
            </a:pPr>
            <a:r>
              <a:rPr lang="ja-JP"/>
              <a:t>施設ごと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合計データ!$I$10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solidFill>
                <a:schemeClr val="accent3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合計データ!$H$11:$H$40</c:f>
              <c:strCache>
                <c:ptCount val="1"/>
                <c:pt idx="0">
                  <c:v>x</c:v>
                </c:pt>
              </c:strCache>
            </c:strRef>
          </c:cat>
          <c:val>
            <c:numRef>
              <c:f>合計データ!$I$11:$I$40</c:f>
              <c:numCache>
                <c:formatCode>0.0%</c:formatCode>
                <c:ptCount val="30"/>
                <c:pt idx="0" formatCode="#,##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C6-4747-ABF6-1DFCE5A33B68}"/>
            </c:ext>
          </c:extLst>
        </c:ser>
        <c:ser>
          <c:idx val="1"/>
          <c:order val="1"/>
          <c:tx>
            <c:strRef>
              <c:f>合計データ!$J$10</c:f>
              <c:strCache>
                <c:ptCount val="1"/>
                <c:pt idx="0">
                  <c:v>稼働率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 w="9525" cap="flat" cmpd="sng" algn="ctr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合計データ!$H$11:$H$40</c:f>
              <c:strCache>
                <c:ptCount val="1"/>
                <c:pt idx="0">
                  <c:v>x</c:v>
                </c:pt>
              </c:strCache>
            </c:strRef>
          </c:cat>
          <c:val>
            <c:numRef>
              <c:f>合計データ!$J$11:$J$40</c:f>
              <c:numCache>
                <c:formatCode>0.0%</c:formatCode>
                <c:ptCount val="30"/>
                <c:pt idx="0" formatCode="#,##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C6-4747-ABF6-1DFCE5A33B68}"/>
            </c:ext>
          </c:extLst>
        </c:ser>
        <c:ser>
          <c:idx val="2"/>
          <c:order val="2"/>
          <c:tx>
            <c:strRef>
              <c:f>合計データ!$K$10</c:f>
              <c:strCache>
                <c:ptCount val="1"/>
                <c:pt idx="0">
                  <c:v>稼働率差異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 w="9525" cap="flat" cmpd="sng" algn="ctr">
              <a:solidFill>
                <a:schemeClr val="accent5"/>
              </a:solidFill>
              <a:round/>
            </a:ln>
            <a:effectLst/>
          </c:spPr>
          <c:invertIfNegative val="0"/>
          <c:dLbls>
            <c:numFmt formatCode="0%;\-0%;&quot;&quot;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合計データ!$H$11:$H$40</c:f>
              <c:strCache>
                <c:ptCount val="1"/>
                <c:pt idx="0">
                  <c:v>x</c:v>
                </c:pt>
              </c:strCache>
            </c:strRef>
          </c:cat>
          <c:val>
            <c:numRef>
              <c:f>合計データ!$K$11:$K$40</c:f>
              <c:numCache>
                <c:formatCode>0.0%</c:formatCode>
                <c:ptCount val="30"/>
                <c:pt idx="0" formatCode="#,##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C6-4747-ABF6-1DFCE5A33B6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50"/>
        <c:axId val="331957008"/>
        <c:axId val="331962288"/>
      </c:barChart>
      <c:catAx>
        <c:axId val="331957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62288"/>
        <c:crosses val="autoZero"/>
        <c:auto val="1"/>
        <c:lblAlgn val="ctr"/>
        <c:lblOffset val="100"/>
        <c:noMultiLvlLbl val="0"/>
      </c:catAx>
      <c:valAx>
        <c:axId val="331962288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31957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9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6350</xdr:rowOff>
    </xdr:from>
    <xdr:to>
      <xdr:col>8</xdr:col>
      <xdr:colOff>721525</xdr:colOff>
      <xdr:row>14</xdr:row>
      <xdr:rowOff>168550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69850</xdr:colOff>
      <xdr:row>15</xdr:row>
      <xdr:rowOff>104775</xdr:rowOff>
    </xdr:from>
    <xdr:to>
      <xdr:col>8</xdr:col>
      <xdr:colOff>718350</xdr:colOff>
      <xdr:row>32</xdr:row>
      <xdr:rowOff>142425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66675</xdr:colOff>
      <xdr:row>42</xdr:row>
      <xdr:rowOff>0</xdr:rowOff>
    </xdr:from>
    <xdr:to>
      <xdr:col>8</xdr:col>
      <xdr:colOff>721525</xdr:colOff>
      <xdr:row>77</xdr:row>
      <xdr:rowOff>139700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84310F8C-6A24-4A32-AAE7-A22D26E62CF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66675</xdr:colOff>
      <xdr:row>81</xdr:row>
      <xdr:rowOff>63500</xdr:rowOff>
    </xdr:from>
    <xdr:to>
      <xdr:col>8</xdr:col>
      <xdr:colOff>721525</xdr:colOff>
      <xdr:row>116</xdr:row>
      <xdr:rowOff>203200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75AF1787-DD75-40F4-A7FB-9EAFD7AAEF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I121"/>
  <sheetViews>
    <sheetView showGridLines="0" tabSelected="1" view="pageLayout" zoomScaleNormal="100" workbookViewId="0">
      <selection sqref="A1:I1"/>
    </sheetView>
  </sheetViews>
  <sheetFormatPr defaultColWidth="11.54296875" defaultRowHeight="16.5" x14ac:dyDescent="0.5"/>
  <sheetData>
    <row r="1" spans="1:9" ht="30" customHeight="1" x14ac:dyDescent="0.75">
      <c r="A1" s="25" t="str">
        <f ca="1">_xlfn.CONCAT("デイリーレポート - ",TEXT(TODAY(),"yy年mm月dd日"))</f>
        <v>デイリーレポート - 26年01月09日</v>
      </c>
      <c r="B1" s="25"/>
      <c r="C1" s="25"/>
      <c r="D1" s="25"/>
      <c r="E1" s="25"/>
      <c r="F1" s="25"/>
      <c r="G1" s="25"/>
      <c r="H1" s="25"/>
      <c r="I1" s="25"/>
    </row>
    <row r="17" ht="16.5" customHeight="1" x14ac:dyDescent="0.5"/>
    <row r="18" ht="16.5" customHeight="1" x14ac:dyDescent="0.5"/>
    <row r="34" spans="1:9" x14ac:dyDescent="0.5">
      <c r="B34" s="17"/>
      <c r="C34" s="18" t="s">
        <v>31</v>
      </c>
      <c r="D34" s="18" t="s">
        <v>32</v>
      </c>
      <c r="E34" s="18" t="s">
        <v>33</v>
      </c>
      <c r="F34" s="18" t="s">
        <v>34</v>
      </c>
      <c r="G34" s="18" t="s">
        <v>35</v>
      </c>
      <c r="H34" s="18" t="s">
        <v>36</v>
      </c>
    </row>
    <row r="35" spans="1:9" ht="18.5" x14ac:dyDescent="0.55000000000000004">
      <c r="B35" s="22" t="s">
        <v>20</v>
      </c>
      <c r="C35" s="23">
        <f>合計データ!V2</f>
        <v>0</v>
      </c>
      <c r="D35" s="23">
        <f>合計データ!W2</f>
        <v>0</v>
      </c>
      <c r="E35" s="23">
        <f>合計データ!X2</f>
        <v>0</v>
      </c>
      <c r="F35" s="23">
        <f>合計データ!Y2</f>
        <v>0</v>
      </c>
      <c r="G35" s="23">
        <f>合計データ!Z2</f>
        <v>0</v>
      </c>
      <c r="H35" s="23">
        <f>合計データ!AA2</f>
        <v>0</v>
      </c>
    </row>
    <row r="36" spans="1:9" x14ac:dyDescent="0.5">
      <c r="B36" s="19" t="s">
        <v>37</v>
      </c>
      <c r="C36" s="20">
        <f>合計データ!V3</f>
        <v>0</v>
      </c>
      <c r="D36" s="20">
        <f>合計データ!W3</f>
        <v>0</v>
      </c>
      <c r="E36" s="20">
        <f>合計データ!X3</f>
        <v>0</v>
      </c>
      <c r="F36" s="20">
        <f>合計データ!Y3</f>
        <v>0</v>
      </c>
      <c r="G36" s="20">
        <f>合計データ!Z3</f>
        <v>0</v>
      </c>
      <c r="H36" s="20">
        <f>合計データ!AA3</f>
        <v>0</v>
      </c>
    </row>
    <row r="37" spans="1:9" ht="18.5" x14ac:dyDescent="0.55000000000000004">
      <c r="B37" s="22" t="s">
        <v>21</v>
      </c>
      <c r="C37" s="23">
        <f>合計データ!V4</f>
        <v>0</v>
      </c>
      <c r="D37" s="23">
        <f>合計データ!W4</f>
        <v>0</v>
      </c>
      <c r="E37" s="23">
        <f>合計データ!X4</f>
        <v>0</v>
      </c>
      <c r="F37" s="23">
        <f>合計データ!Y4</f>
        <v>0</v>
      </c>
      <c r="G37" s="23">
        <f>合計データ!Z4</f>
        <v>0</v>
      </c>
      <c r="H37" s="23">
        <f>合計データ!AA4</f>
        <v>0</v>
      </c>
    </row>
    <row r="38" spans="1:9" x14ac:dyDescent="0.5">
      <c r="B38" s="19" t="s">
        <v>37</v>
      </c>
      <c r="C38" s="20">
        <f>合計データ!V5</f>
        <v>0</v>
      </c>
      <c r="D38" s="20">
        <f>合計データ!W5</f>
        <v>0</v>
      </c>
      <c r="E38" s="20">
        <f>合計データ!X5</f>
        <v>0</v>
      </c>
      <c r="F38" s="20">
        <f>合計データ!Y5</f>
        <v>0</v>
      </c>
      <c r="G38" s="20">
        <f>合計データ!Z5</f>
        <v>0</v>
      </c>
      <c r="H38" s="20">
        <f>合計データ!AA5</f>
        <v>0</v>
      </c>
    </row>
    <row r="39" spans="1:9" x14ac:dyDescent="0.5">
      <c r="A39" s="24"/>
      <c r="B39" s="24"/>
      <c r="C39" s="24"/>
      <c r="D39" s="24"/>
      <c r="E39" s="24"/>
      <c r="F39" s="24"/>
      <c r="G39" s="24"/>
      <c r="H39" s="24"/>
      <c r="I39" s="24"/>
    </row>
    <row r="40" spans="1:9" x14ac:dyDescent="0.5">
      <c r="A40" s="24"/>
      <c r="B40" s="24"/>
      <c r="C40" s="24"/>
      <c r="D40" s="24"/>
      <c r="E40" s="24"/>
      <c r="F40" s="24"/>
      <c r="G40" s="24"/>
      <c r="H40" s="24"/>
      <c r="I40" s="24"/>
    </row>
    <row r="41" spans="1:9" x14ac:dyDescent="0.5">
      <c r="A41" s="24"/>
      <c r="B41" s="24"/>
      <c r="C41" s="24"/>
      <c r="D41" s="24"/>
      <c r="E41" s="24"/>
      <c r="F41" s="24"/>
      <c r="G41" s="24"/>
      <c r="H41" s="24"/>
      <c r="I41" s="24"/>
    </row>
    <row r="79" spans="1:9" x14ac:dyDescent="0.5">
      <c r="A79" s="24">
        <f>$A$39</f>
        <v>0</v>
      </c>
      <c r="B79" s="24"/>
      <c r="C79" s="24"/>
      <c r="D79" s="24"/>
      <c r="E79" s="24"/>
      <c r="F79" s="24"/>
      <c r="G79" s="24"/>
      <c r="H79" s="24"/>
      <c r="I79" s="24"/>
    </row>
    <row r="80" spans="1:9" x14ac:dyDescent="0.5">
      <c r="A80" s="24"/>
      <c r="B80" s="24"/>
      <c r="C80" s="24"/>
      <c r="D80" s="24"/>
      <c r="E80" s="24"/>
      <c r="F80" s="24"/>
      <c r="G80" s="24"/>
      <c r="H80" s="24"/>
      <c r="I80" s="24"/>
    </row>
    <row r="81" spans="1:9" x14ac:dyDescent="0.5">
      <c r="A81" s="24"/>
      <c r="B81" s="24"/>
      <c r="C81" s="24"/>
      <c r="D81" s="24"/>
      <c r="E81" s="24"/>
      <c r="F81" s="24"/>
      <c r="G81" s="24"/>
      <c r="H81" s="24"/>
      <c r="I81" s="24"/>
    </row>
    <row r="119" spans="1:9" x14ac:dyDescent="0.5">
      <c r="A119" s="24">
        <f>$A$39</f>
        <v>0</v>
      </c>
      <c r="B119" s="24"/>
      <c r="C119" s="24"/>
      <c r="D119" s="24"/>
      <c r="E119" s="24"/>
      <c r="F119" s="24"/>
      <c r="G119" s="24"/>
      <c r="H119" s="24"/>
      <c r="I119" s="24"/>
    </row>
    <row r="120" spans="1:9" x14ac:dyDescent="0.5">
      <c r="A120" s="24"/>
      <c r="B120" s="24"/>
      <c r="C120" s="24"/>
      <c r="D120" s="24"/>
      <c r="E120" s="24"/>
      <c r="F120" s="24"/>
      <c r="G120" s="24"/>
      <c r="H120" s="24"/>
      <c r="I120" s="24"/>
    </row>
    <row r="121" spans="1:9" x14ac:dyDescent="0.5">
      <c r="A121" s="24"/>
      <c r="B121" s="24"/>
      <c r="C121" s="24"/>
      <c r="D121" s="24"/>
      <c r="E121" s="24"/>
      <c r="F121" s="24"/>
      <c r="G121" s="24"/>
      <c r="H121" s="24"/>
      <c r="I121" s="24"/>
    </row>
  </sheetData>
  <mergeCells count="4">
    <mergeCell ref="A119:I121"/>
    <mergeCell ref="A1:I1"/>
    <mergeCell ref="A39:I41"/>
    <mergeCell ref="A79:I81"/>
  </mergeCells>
  <phoneticPr fontId="3"/>
  <conditionalFormatting sqref="C36:H36">
    <cfRule type="cellIs" dxfId="7" priority="3" operator="lessThan">
      <formula>0</formula>
    </cfRule>
    <cfRule type="cellIs" dxfId="6" priority="4" operator="greaterThan">
      <formula>0</formula>
    </cfRule>
  </conditionalFormatting>
  <conditionalFormatting sqref="C38:H38">
    <cfRule type="cellIs" dxfId="5" priority="1" operator="lessThan">
      <formula>0</formula>
    </cfRule>
    <cfRule type="cellIs" dxfId="4" priority="2" operator="greaterThan">
      <formula>0</formula>
    </cfRule>
  </conditionalFormatting>
  <pageMargins left="0.78740157480314965" right="0.78740157480314965" top="1.0629921259842521" bottom="1.0629921259842521" header="0.78740157480314965" footer="0.78740157480314965"/>
  <pageSetup paperSize="9" scale="83" fitToHeight="0" orientation="portrait" horizontalDpi="300" verticalDpi="300" r:id="rId1"/>
  <headerFooter>
    <oddHeader>&amp;C&amp;"Times New Roman,標準"&amp;12&amp;Kffffff&amp;A</oddHeader>
    <oddFooter>&amp;C&amp;12&amp;KFFFFFFページ&amp;"Times New Roman,標準" &amp;P</oddFooter>
  </headerFooter>
  <rowBreaks count="2" manualBreakCount="2">
    <brk id="41" max="16383" man="1"/>
    <brk id="81" max="16383" man="1"/>
  </row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38"/>
  <sheetViews>
    <sheetView showGridLines="0" zoomScale="80" zoomScaleNormal="80" zoomScaleSheetLayoutView="80" workbookViewId="0">
      <selection activeCell="V7" sqref="V7"/>
    </sheetView>
  </sheetViews>
  <sheetFormatPr defaultColWidth="11.54296875" defaultRowHeight="16.5" x14ac:dyDescent="0.5"/>
  <cols>
    <col min="1" max="1" width="11.6328125" style="1" bestFit="1" customWidth="1"/>
    <col min="2" max="2" width="12.26953125" style="2" bestFit="1" customWidth="1"/>
    <col min="3" max="3" width="17.08984375" style="2" bestFit="1" customWidth="1"/>
    <col min="4" max="4" width="11" style="2" customWidth="1"/>
    <col min="5" max="5" width="10.36328125" style="1" bestFit="1" customWidth="1"/>
    <col min="6" max="6" width="17" style="1" customWidth="1"/>
    <col min="7" max="7" width="11.6328125" style="1" bestFit="1" customWidth="1"/>
    <col min="8" max="8" width="13.36328125" style="2" bestFit="1" customWidth="1"/>
    <col min="9" max="9" width="14.36328125" style="1" bestFit="1" customWidth="1"/>
    <col min="10" max="10" width="13.36328125" style="2" bestFit="1" customWidth="1"/>
    <col min="11" max="11" width="12.81640625" style="2" customWidth="1"/>
    <col min="12" max="12" width="19.7265625" style="2" customWidth="1"/>
    <col min="13" max="13" width="12.6328125" style="2" bestFit="1" customWidth="1"/>
    <col min="14" max="14" width="17.26953125" style="2" bestFit="1" customWidth="1"/>
    <col min="15" max="16" width="17.26953125" style="2" customWidth="1"/>
    <col min="17" max="17" width="20.81640625" style="1" bestFit="1" customWidth="1"/>
    <col min="18" max="18" width="22.7265625" style="1" bestFit="1" customWidth="1"/>
    <col min="19" max="19" width="18.08984375" style="1" bestFit="1" customWidth="1"/>
    <col min="20" max="20" width="11.54296875" style="1"/>
    <col min="21" max="21" width="9.08984375" style="1" customWidth="1"/>
    <col min="22" max="27" width="9.90625" style="1" customWidth="1"/>
    <col min="28" max="16384" width="11.54296875" style="1"/>
  </cols>
  <sheetData>
    <row r="1" spans="1:27" x14ac:dyDescent="0.5">
      <c r="A1" s="5" t="s">
        <v>0</v>
      </c>
      <c r="B1" s="6" t="s">
        <v>1</v>
      </c>
      <c r="C1" s="6" t="s">
        <v>26</v>
      </c>
      <c r="D1" s="6" t="s">
        <v>2</v>
      </c>
      <c r="E1" s="5" t="s">
        <v>3</v>
      </c>
      <c r="F1" s="5" t="s">
        <v>27</v>
      </c>
      <c r="G1" s="5" t="s">
        <v>4</v>
      </c>
      <c r="H1" s="6" t="s">
        <v>5</v>
      </c>
      <c r="I1" s="5" t="s">
        <v>28</v>
      </c>
      <c r="J1" s="6" t="s">
        <v>6</v>
      </c>
      <c r="K1" s="6" t="s">
        <v>25</v>
      </c>
      <c r="L1" s="6" t="s">
        <v>7</v>
      </c>
      <c r="M1" s="6" t="s">
        <v>8</v>
      </c>
      <c r="N1" s="6" t="s">
        <v>9</v>
      </c>
      <c r="O1" s="6" t="s">
        <v>10</v>
      </c>
      <c r="P1" s="6" t="s">
        <v>29</v>
      </c>
      <c r="Q1" s="6" t="s">
        <v>11</v>
      </c>
      <c r="R1" s="6" t="s">
        <v>13</v>
      </c>
      <c r="S1" s="6" t="s">
        <v>12</v>
      </c>
      <c r="U1" s="17"/>
      <c r="V1" s="18" t="s">
        <v>31</v>
      </c>
      <c r="W1" s="18" t="s">
        <v>32</v>
      </c>
      <c r="X1" s="18" t="s">
        <v>33</v>
      </c>
      <c r="Y1" s="18" t="s">
        <v>34</v>
      </c>
      <c r="Z1" s="18" t="s">
        <v>35</v>
      </c>
      <c r="AA1" s="18" t="s">
        <v>36</v>
      </c>
    </row>
    <row r="2" spans="1:27" ht="18.5" x14ac:dyDescent="0.55000000000000004">
      <c r="A2" s="8"/>
      <c r="B2" s="9"/>
      <c r="C2" s="9"/>
      <c r="D2" s="9"/>
      <c r="E2" s="10"/>
      <c r="F2" s="10"/>
      <c r="G2" s="8"/>
      <c r="H2" s="9"/>
      <c r="I2" s="10"/>
      <c r="J2" s="9"/>
      <c r="K2" s="9"/>
      <c r="L2" s="9"/>
      <c r="M2" s="9"/>
      <c r="N2" s="9"/>
      <c r="O2" s="7">
        <f>B2/1000000</f>
        <v>0</v>
      </c>
      <c r="P2" s="7">
        <f>C2/1000000</f>
        <v>0</v>
      </c>
      <c r="Q2" s="3" t="e">
        <f>C2/B2</f>
        <v>#DIV/0!</v>
      </c>
      <c r="R2" s="3" t="e">
        <f>F2/E2</f>
        <v>#DIV/0!</v>
      </c>
      <c r="S2" s="4">
        <f>F2-I2</f>
        <v>0</v>
      </c>
      <c r="U2" s="22" t="s">
        <v>20</v>
      </c>
      <c r="V2" s="23"/>
      <c r="W2" s="23"/>
      <c r="X2" s="23"/>
      <c r="Y2" s="23"/>
      <c r="Z2" s="23"/>
      <c r="AA2" s="23"/>
    </row>
    <row r="3" spans="1:27" x14ac:dyDescent="0.5">
      <c r="A3" s="8"/>
      <c r="B3" s="9"/>
      <c r="C3" s="9"/>
      <c r="D3" s="9"/>
      <c r="E3" s="10"/>
      <c r="F3" s="10"/>
      <c r="G3" s="8"/>
      <c r="H3" s="9"/>
      <c r="I3" s="10"/>
      <c r="J3" s="9"/>
      <c r="K3" s="9"/>
      <c r="L3" s="9"/>
      <c r="M3" s="9"/>
      <c r="N3" s="9"/>
      <c r="O3" s="7">
        <f t="shared" ref="O3:P7" si="0">B3/1000000</f>
        <v>0</v>
      </c>
      <c r="P3" s="7">
        <f t="shared" si="0"/>
        <v>0</v>
      </c>
      <c r="Q3" s="3" t="e">
        <f t="shared" ref="Q3:Q7" si="1">C3/B3</f>
        <v>#DIV/0!</v>
      </c>
      <c r="R3" s="3" t="e">
        <f t="shared" ref="R3:R7" si="2">F3/E3</f>
        <v>#DIV/0!</v>
      </c>
      <c r="S3" s="4">
        <f t="shared" ref="S3:S7" si="3">F3-I3</f>
        <v>0</v>
      </c>
      <c r="U3" s="19" t="s">
        <v>37</v>
      </c>
      <c r="V3" s="20">
        <f>V2-V7</f>
        <v>0</v>
      </c>
      <c r="W3" s="20">
        <f t="shared" ref="W3:AA3" si="4">W2-W7</f>
        <v>0</v>
      </c>
      <c r="X3" s="20">
        <f t="shared" si="4"/>
        <v>0</v>
      </c>
      <c r="Y3" s="20">
        <f t="shared" si="4"/>
        <v>0</v>
      </c>
      <c r="Z3" s="20">
        <f t="shared" si="4"/>
        <v>0</v>
      </c>
      <c r="AA3" s="20">
        <f t="shared" si="4"/>
        <v>0</v>
      </c>
    </row>
    <row r="4" spans="1:27" ht="18.5" x14ac:dyDescent="0.55000000000000004">
      <c r="A4" s="8"/>
      <c r="B4" s="9"/>
      <c r="C4" s="9"/>
      <c r="D4" s="9"/>
      <c r="E4" s="10"/>
      <c r="F4" s="10"/>
      <c r="G4" s="8"/>
      <c r="H4" s="9"/>
      <c r="I4" s="10"/>
      <c r="J4" s="9"/>
      <c r="K4" s="9"/>
      <c r="L4" s="9"/>
      <c r="M4" s="9"/>
      <c r="N4" s="9"/>
      <c r="O4" s="7">
        <f t="shared" si="0"/>
        <v>0</v>
      </c>
      <c r="P4" s="7">
        <f t="shared" si="0"/>
        <v>0</v>
      </c>
      <c r="Q4" s="3" t="e">
        <f t="shared" si="1"/>
        <v>#DIV/0!</v>
      </c>
      <c r="R4" s="3" t="e">
        <f t="shared" si="2"/>
        <v>#DIV/0!</v>
      </c>
      <c r="S4" s="4">
        <f t="shared" si="3"/>
        <v>0</v>
      </c>
      <c r="U4" s="22" t="s">
        <v>21</v>
      </c>
      <c r="V4" s="23"/>
      <c r="W4" s="23"/>
      <c r="X4" s="23"/>
      <c r="Y4" s="23"/>
      <c r="Z4" s="23"/>
      <c r="AA4" s="23"/>
    </row>
    <row r="5" spans="1:27" x14ac:dyDescent="0.5">
      <c r="A5" s="8"/>
      <c r="B5" s="9"/>
      <c r="C5" s="9"/>
      <c r="D5" s="9"/>
      <c r="E5" s="10"/>
      <c r="F5" s="10"/>
      <c r="G5" s="8"/>
      <c r="H5" s="9"/>
      <c r="I5" s="10"/>
      <c r="J5" s="9"/>
      <c r="K5" s="9"/>
      <c r="L5" s="9"/>
      <c r="M5" s="9"/>
      <c r="N5" s="9"/>
      <c r="O5" s="7">
        <f t="shared" si="0"/>
        <v>0</v>
      </c>
      <c r="P5" s="7">
        <f t="shared" si="0"/>
        <v>0</v>
      </c>
      <c r="Q5" s="3" t="e">
        <f t="shared" si="1"/>
        <v>#DIV/0!</v>
      </c>
      <c r="R5" s="3" t="e">
        <f t="shared" si="2"/>
        <v>#DIV/0!</v>
      </c>
      <c r="S5" s="4">
        <f t="shared" si="3"/>
        <v>0</v>
      </c>
      <c r="U5" s="21" t="s">
        <v>37</v>
      </c>
      <c r="V5" s="20">
        <f>V4-V8</f>
        <v>0</v>
      </c>
      <c r="W5" s="20">
        <f t="shared" ref="W5:AA5" si="5">W4-W8</f>
        <v>0</v>
      </c>
      <c r="X5" s="20">
        <f t="shared" si="5"/>
        <v>0</v>
      </c>
      <c r="Y5" s="20">
        <f t="shared" si="5"/>
        <v>0</v>
      </c>
      <c r="Z5" s="20">
        <f t="shared" si="5"/>
        <v>0</v>
      </c>
      <c r="AA5" s="20">
        <f t="shared" si="5"/>
        <v>0</v>
      </c>
    </row>
    <row r="6" spans="1:27" x14ac:dyDescent="0.5">
      <c r="A6" s="8"/>
      <c r="B6" s="9"/>
      <c r="C6" s="9"/>
      <c r="D6" s="9"/>
      <c r="E6" s="10"/>
      <c r="F6" s="10"/>
      <c r="G6" s="8"/>
      <c r="H6" s="9"/>
      <c r="I6" s="10"/>
      <c r="J6" s="9"/>
      <c r="K6" s="9"/>
      <c r="L6" s="9"/>
      <c r="M6" s="9"/>
      <c r="N6" s="9"/>
      <c r="O6" s="7">
        <f t="shared" si="0"/>
        <v>0</v>
      </c>
      <c r="P6" s="7">
        <f t="shared" si="0"/>
        <v>0</v>
      </c>
      <c r="Q6" s="3" t="e">
        <f t="shared" si="1"/>
        <v>#DIV/0!</v>
      </c>
      <c r="R6" s="3" t="e">
        <f t="shared" si="2"/>
        <v>#DIV/0!</v>
      </c>
      <c r="S6" s="4">
        <f t="shared" si="3"/>
        <v>0</v>
      </c>
    </row>
    <row r="7" spans="1:27" x14ac:dyDescent="0.5">
      <c r="A7" s="8"/>
      <c r="B7" s="9"/>
      <c r="C7" s="9"/>
      <c r="D7" s="9"/>
      <c r="E7" s="10"/>
      <c r="F7" s="10"/>
      <c r="G7" s="8"/>
      <c r="H7" s="9"/>
      <c r="I7" s="10"/>
      <c r="J7" s="9"/>
      <c r="K7" s="9"/>
      <c r="L7" s="9"/>
      <c r="M7" s="9"/>
      <c r="N7" s="9"/>
      <c r="O7" s="7">
        <f t="shared" si="0"/>
        <v>0</v>
      </c>
      <c r="P7" s="7">
        <f t="shared" si="0"/>
        <v>0</v>
      </c>
      <c r="Q7" s="3" t="e">
        <f t="shared" si="1"/>
        <v>#DIV/0!</v>
      </c>
      <c r="R7" s="3" t="e">
        <f t="shared" si="2"/>
        <v>#DIV/0!</v>
      </c>
      <c r="S7" s="4">
        <f t="shared" si="3"/>
        <v>0</v>
      </c>
      <c r="U7" s="1" t="s">
        <v>38</v>
      </c>
    </row>
    <row r="8" spans="1:27" x14ac:dyDescent="0.5">
      <c r="U8" s="1" t="s">
        <v>39</v>
      </c>
    </row>
    <row r="10" spans="1:27" x14ac:dyDescent="0.5">
      <c r="A10" t="s">
        <v>22</v>
      </c>
      <c r="B10" t="s">
        <v>1</v>
      </c>
      <c r="C10" t="s">
        <v>26</v>
      </c>
      <c r="D10" t="s">
        <v>23</v>
      </c>
      <c r="E10" t="s">
        <v>14</v>
      </c>
      <c r="F10" t="s">
        <v>15</v>
      </c>
      <c r="H10" t="s">
        <v>22</v>
      </c>
      <c r="I10" t="s">
        <v>3</v>
      </c>
      <c r="J10" t="s">
        <v>27</v>
      </c>
      <c r="K10" t="s">
        <v>24</v>
      </c>
      <c r="L10" t="s">
        <v>16</v>
      </c>
      <c r="M10" t="s">
        <v>17</v>
      </c>
      <c r="O10" s="6" t="s">
        <v>19</v>
      </c>
      <c r="P10" s="6" t="s">
        <v>30</v>
      </c>
      <c r="Q10" s="6" t="s">
        <v>18</v>
      </c>
    </row>
    <row r="11" spans="1:27" x14ac:dyDescent="0.5">
      <c r="A11" t="s">
        <v>40</v>
      </c>
      <c r="B11" s="12" t="s">
        <v>40</v>
      </c>
      <c r="C11" s="12" t="s">
        <v>40</v>
      </c>
      <c r="D11" s="12" t="s">
        <v>40</v>
      </c>
      <c r="E11" s="12" t="s">
        <v>40</v>
      </c>
      <c r="F11" s="12" t="s">
        <v>40</v>
      </c>
      <c r="G11" s="12"/>
      <c r="H11" s="12" t="s">
        <v>40</v>
      </c>
      <c r="I11" s="12" t="s">
        <v>40</v>
      </c>
      <c r="J11" s="12" t="s">
        <v>40</v>
      </c>
      <c r="K11" s="12" t="s">
        <v>40</v>
      </c>
      <c r="L11" s="12" t="s">
        <v>40</v>
      </c>
      <c r="M11" s="12" t="s">
        <v>40</v>
      </c>
      <c r="N11" s="12"/>
      <c r="O11" s="16" t="e">
        <f>B11/10000</f>
        <v>#VALUE!</v>
      </c>
      <c r="P11" s="16" t="e">
        <f>C11/10000</f>
        <v>#VALUE!</v>
      </c>
      <c r="Q11" s="16" t="e">
        <f>D11/10000</f>
        <v>#VALUE!</v>
      </c>
    </row>
    <row r="12" spans="1:27" x14ac:dyDescent="0.5">
      <c r="B12" s="11"/>
      <c r="C12" s="11"/>
      <c r="D12" s="11"/>
      <c r="E12" s="13"/>
      <c r="F12" s="13"/>
      <c r="H12" s="1"/>
      <c r="I12" s="14"/>
      <c r="J12" s="15"/>
      <c r="K12" s="14"/>
      <c r="L12" s="14"/>
      <c r="M12" s="14"/>
      <c r="N12" s="11"/>
      <c r="O12" s="16">
        <f t="shared" ref="O12:O38" si="6">B12/10000</f>
        <v>0</v>
      </c>
      <c r="P12" s="16">
        <f t="shared" ref="P12:P38" si="7">C12/10000</f>
        <v>0</v>
      </c>
      <c r="Q12" s="16">
        <f t="shared" ref="Q12:Q38" si="8">D12/10000</f>
        <v>0</v>
      </c>
    </row>
    <row r="13" spans="1:27" x14ac:dyDescent="0.5">
      <c r="B13" s="11"/>
      <c r="C13" s="11"/>
      <c r="D13" s="11"/>
      <c r="E13" s="13"/>
      <c r="F13" s="13"/>
      <c r="H13" s="1"/>
      <c r="I13" s="14"/>
      <c r="J13" s="15"/>
      <c r="K13" s="14"/>
      <c r="L13" s="14"/>
      <c r="M13" s="14"/>
      <c r="N13" s="11"/>
      <c r="O13" s="16">
        <f t="shared" si="6"/>
        <v>0</v>
      </c>
      <c r="P13" s="16">
        <f t="shared" si="7"/>
        <v>0</v>
      </c>
      <c r="Q13" s="16">
        <f t="shared" si="8"/>
        <v>0</v>
      </c>
    </row>
    <row r="14" spans="1:27" x14ac:dyDescent="0.5">
      <c r="B14" s="11"/>
      <c r="C14" s="11"/>
      <c r="D14" s="11"/>
      <c r="E14" s="13"/>
      <c r="F14" s="13"/>
      <c r="H14" s="1"/>
      <c r="I14" s="14"/>
      <c r="J14" s="15"/>
      <c r="K14" s="14"/>
      <c r="L14" s="14"/>
      <c r="M14" s="14"/>
      <c r="N14" s="11"/>
      <c r="O14" s="16">
        <f t="shared" si="6"/>
        <v>0</v>
      </c>
      <c r="P14" s="16">
        <f t="shared" si="7"/>
        <v>0</v>
      </c>
      <c r="Q14" s="16">
        <f t="shared" si="8"/>
        <v>0</v>
      </c>
    </row>
    <row r="15" spans="1:27" x14ac:dyDescent="0.5">
      <c r="B15" s="11"/>
      <c r="C15" s="11"/>
      <c r="D15" s="11"/>
      <c r="E15" s="13"/>
      <c r="F15" s="13"/>
      <c r="H15" s="1"/>
      <c r="I15" s="14"/>
      <c r="J15" s="15"/>
      <c r="K15" s="14"/>
      <c r="L15" s="14"/>
      <c r="M15" s="14"/>
      <c r="N15"/>
      <c r="O15" s="16">
        <f t="shared" si="6"/>
        <v>0</v>
      </c>
      <c r="P15" s="16">
        <f t="shared" si="7"/>
        <v>0</v>
      </c>
      <c r="Q15" s="16">
        <f t="shared" si="8"/>
        <v>0</v>
      </c>
    </row>
    <row r="16" spans="1:27" x14ac:dyDescent="0.5">
      <c r="B16" s="11"/>
      <c r="C16" s="11"/>
      <c r="D16" s="11"/>
      <c r="E16" s="13"/>
      <c r="F16" s="13"/>
      <c r="H16" s="1"/>
      <c r="I16" s="14"/>
      <c r="J16" s="15"/>
      <c r="K16" s="14"/>
      <c r="L16" s="14"/>
      <c r="M16" s="14"/>
      <c r="N16"/>
      <c r="O16" s="16">
        <f t="shared" si="6"/>
        <v>0</v>
      </c>
      <c r="P16" s="16">
        <f t="shared" si="7"/>
        <v>0</v>
      </c>
      <c r="Q16" s="16">
        <f t="shared" si="8"/>
        <v>0</v>
      </c>
    </row>
    <row r="17" spans="2:17" x14ac:dyDescent="0.5">
      <c r="B17" s="11"/>
      <c r="C17" s="11"/>
      <c r="D17" s="11"/>
      <c r="E17" s="13"/>
      <c r="F17" s="13"/>
      <c r="H17" s="1"/>
      <c r="I17" s="14"/>
      <c r="J17" s="15"/>
      <c r="K17" s="14"/>
      <c r="L17" s="14"/>
      <c r="M17" s="14"/>
      <c r="N17"/>
      <c r="O17" s="16">
        <f t="shared" si="6"/>
        <v>0</v>
      </c>
      <c r="P17" s="16">
        <f t="shared" si="7"/>
        <v>0</v>
      </c>
      <c r="Q17" s="16">
        <f t="shared" si="8"/>
        <v>0</v>
      </c>
    </row>
    <row r="18" spans="2:17" x14ac:dyDescent="0.5">
      <c r="B18" s="11"/>
      <c r="C18" s="11"/>
      <c r="D18" s="11"/>
      <c r="E18" s="13"/>
      <c r="F18" s="13"/>
      <c r="H18" s="1"/>
      <c r="I18" s="14"/>
      <c r="J18" s="15"/>
      <c r="K18" s="14"/>
      <c r="L18" s="14"/>
      <c r="M18" s="14"/>
      <c r="N18"/>
      <c r="O18" s="16">
        <f t="shared" si="6"/>
        <v>0</v>
      </c>
      <c r="P18" s="16">
        <f t="shared" si="7"/>
        <v>0</v>
      </c>
      <c r="Q18" s="16">
        <f t="shared" si="8"/>
        <v>0</v>
      </c>
    </row>
    <row r="19" spans="2:17" x14ac:dyDescent="0.5">
      <c r="B19" s="11"/>
      <c r="C19" s="11"/>
      <c r="D19" s="11"/>
      <c r="E19" s="13"/>
      <c r="F19" s="13"/>
      <c r="H19" s="1"/>
      <c r="I19" s="14"/>
      <c r="J19" s="15"/>
      <c r="K19" s="14"/>
      <c r="L19" s="14"/>
      <c r="M19" s="14"/>
      <c r="N19"/>
      <c r="O19" s="16">
        <f t="shared" si="6"/>
        <v>0</v>
      </c>
      <c r="P19" s="16">
        <f t="shared" si="7"/>
        <v>0</v>
      </c>
      <c r="Q19" s="16">
        <f t="shared" si="8"/>
        <v>0</v>
      </c>
    </row>
    <row r="20" spans="2:17" x14ac:dyDescent="0.5">
      <c r="B20" s="11"/>
      <c r="C20" s="11"/>
      <c r="D20" s="11"/>
      <c r="E20" s="13"/>
      <c r="F20" s="13"/>
      <c r="H20" s="1"/>
      <c r="I20" s="14"/>
      <c r="J20" s="15"/>
      <c r="K20" s="14"/>
      <c r="L20" s="14"/>
      <c r="M20" s="14"/>
      <c r="N20"/>
      <c r="O20" s="16">
        <f t="shared" si="6"/>
        <v>0</v>
      </c>
      <c r="P20" s="16">
        <f t="shared" si="7"/>
        <v>0</v>
      </c>
      <c r="Q20" s="16">
        <f t="shared" si="8"/>
        <v>0</v>
      </c>
    </row>
    <row r="21" spans="2:17" x14ac:dyDescent="0.5">
      <c r="B21" s="11"/>
      <c r="C21" s="11"/>
      <c r="D21" s="11"/>
      <c r="E21" s="13"/>
      <c r="F21" s="13"/>
      <c r="H21" s="1"/>
      <c r="I21" s="14"/>
      <c r="J21" s="15"/>
      <c r="K21" s="14"/>
      <c r="L21" s="14"/>
      <c r="M21" s="14"/>
      <c r="N21"/>
      <c r="O21" s="16">
        <f t="shared" si="6"/>
        <v>0</v>
      </c>
      <c r="P21" s="16">
        <f t="shared" si="7"/>
        <v>0</v>
      </c>
      <c r="Q21" s="16">
        <f t="shared" si="8"/>
        <v>0</v>
      </c>
    </row>
    <row r="22" spans="2:17" x14ac:dyDescent="0.5">
      <c r="B22" s="11"/>
      <c r="C22" s="11"/>
      <c r="D22" s="11"/>
      <c r="E22" s="13"/>
      <c r="F22" s="13"/>
      <c r="H22" s="1"/>
      <c r="I22" s="14"/>
      <c r="J22" s="15"/>
      <c r="K22" s="14"/>
      <c r="L22" s="14"/>
      <c r="M22" s="14"/>
      <c r="N22"/>
      <c r="O22" s="16">
        <f t="shared" si="6"/>
        <v>0</v>
      </c>
      <c r="P22" s="16">
        <f t="shared" si="7"/>
        <v>0</v>
      </c>
      <c r="Q22" s="16">
        <f t="shared" si="8"/>
        <v>0</v>
      </c>
    </row>
    <row r="23" spans="2:17" x14ac:dyDescent="0.5">
      <c r="B23" s="11"/>
      <c r="C23" s="11"/>
      <c r="D23" s="11"/>
      <c r="E23" s="13"/>
      <c r="F23" s="13"/>
      <c r="H23" s="1"/>
      <c r="I23" s="14"/>
      <c r="J23" s="15"/>
      <c r="K23" s="14"/>
      <c r="L23" s="14"/>
      <c r="M23" s="14"/>
      <c r="N23"/>
      <c r="O23" s="16">
        <f t="shared" si="6"/>
        <v>0</v>
      </c>
      <c r="P23" s="16">
        <f t="shared" si="7"/>
        <v>0</v>
      </c>
      <c r="Q23" s="16">
        <f t="shared" si="8"/>
        <v>0</v>
      </c>
    </row>
    <row r="24" spans="2:17" x14ac:dyDescent="0.5">
      <c r="B24" s="11"/>
      <c r="C24" s="11"/>
      <c r="D24" s="11"/>
      <c r="E24" s="13"/>
      <c r="F24" s="13"/>
      <c r="H24" s="1"/>
      <c r="I24" s="14"/>
      <c r="J24" s="15"/>
      <c r="K24" s="14"/>
      <c r="L24" s="14"/>
      <c r="M24" s="14"/>
      <c r="N24"/>
      <c r="O24" s="16">
        <f t="shared" si="6"/>
        <v>0</v>
      </c>
      <c r="P24" s="16">
        <f t="shared" si="7"/>
        <v>0</v>
      </c>
      <c r="Q24" s="16">
        <f t="shared" si="8"/>
        <v>0</v>
      </c>
    </row>
    <row r="25" spans="2:17" x14ac:dyDescent="0.5">
      <c r="B25" s="11"/>
      <c r="C25" s="11"/>
      <c r="D25" s="11"/>
      <c r="E25" s="13"/>
      <c r="F25" s="13"/>
      <c r="H25" s="1"/>
      <c r="I25" s="14"/>
      <c r="J25" s="15"/>
      <c r="K25" s="14"/>
      <c r="L25" s="14"/>
      <c r="M25" s="14"/>
      <c r="N25"/>
      <c r="O25" s="16">
        <f t="shared" si="6"/>
        <v>0</v>
      </c>
      <c r="P25" s="16">
        <f t="shared" si="7"/>
        <v>0</v>
      </c>
      <c r="Q25" s="16">
        <f t="shared" si="8"/>
        <v>0</v>
      </c>
    </row>
    <row r="26" spans="2:17" x14ac:dyDescent="0.5">
      <c r="B26" s="11"/>
      <c r="C26" s="11"/>
      <c r="D26" s="11"/>
      <c r="E26" s="13"/>
      <c r="F26" s="13"/>
      <c r="H26" s="1"/>
      <c r="I26" s="14"/>
      <c r="J26" s="15"/>
      <c r="K26" s="14"/>
      <c r="L26" s="14"/>
      <c r="M26" s="14"/>
      <c r="N26"/>
      <c r="O26" s="16">
        <f t="shared" si="6"/>
        <v>0</v>
      </c>
      <c r="P26" s="16">
        <f t="shared" si="7"/>
        <v>0</v>
      </c>
      <c r="Q26" s="16">
        <f t="shared" si="8"/>
        <v>0</v>
      </c>
    </row>
    <row r="27" spans="2:17" x14ac:dyDescent="0.5">
      <c r="B27" s="11"/>
      <c r="C27" s="11"/>
      <c r="D27" s="11"/>
      <c r="E27" s="13"/>
      <c r="F27" s="13"/>
      <c r="H27" s="1"/>
      <c r="I27" s="14"/>
      <c r="J27" s="15"/>
      <c r="K27" s="14"/>
      <c r="L27" s="14"/>
      <c r="M27" s="14"/>
      <c r="N27"/>
      <c r="O27" s="16">
        <f t="shared" si="6"/>
        <v>0</v>
      </c>
      <c r="P27" s="16">
        <f t="shared" si="7"/>
        <v>0</v>
      </c>
      <c r="Q27" s="16">
        <f t="shared" si="8"/>
        <v>0</v>
      </c>
    </row>
    <row r="28" spans="2:17" x14ac:dyDescent="0.5">
      <c r="B28" s="11"/>
      <c r="C28" s="11"/>
      <c r="D28" s="11"/>
      <c r="E28" s="13"/>
      <c r="F28" s="13"/>
      <c r="H28" s="1"/>
      <c r="I28" s="14"/>
      <c r="J28" s="15"/>
      <c r="K28" s="14"/>
      <c r="L28" s="14"/>
      <c r="M28" s="14"/>
      <c r="N28"/>
      <c r="O28" s="16">
        <f t="shared" si="6"/>
        <v>0</v>
      </c>
      <c r="P28" s="16">
        <f t="shared" si="7"/>
        <v>0</v>
      </c>
      <c r="Q28" s="16">
        <f t="shared" si="8"/>
        <v>0</v>
      </c>
    </row>
    <row r="29" spans="2:17" x14ac:dyDescent="0.5">
      <c r="B29" s="11"/>
      <c r="C29" s="11"/>
      <c r="D29" s="11"/>
      <c r="E29" s="13"/>
      <c r="F29" s="13"/>
      <c r="H29" s="1"/>
      <c r="I29" s="14"/>
      <c r="J29" s="15"/>
      <c r="K29" s="14"/>
      <c r="L29" s="14"/>
      <c r="M29" s="14"/>
      <c r="N29"/>
      <c r="O29" s="16">
        <f t="shared" si="6"/>
        <v>0</v>
      </c>
      <c r="P29" s="16">
        <f t="shared" si="7"/>
        <v>0</v>
      </c>
      <c r="Q29" s="16">
        <f t="shared" si="8"/>
        <v>0</v>
      </c>
    </row>
    <row r="30" spans="2:17" x14ac:dyDescent="0.5">
      <c r="B30" s="11"/>
      <c r="C30" s="11"/>
      <c r="D30" s="11"/>
      <c r="E30" s="13"/>
      <c r="F30" s="13"/>
      <c r="H30" s="1"/>
      <c r="I30" s="14"/>
      <c r="J30" s="15"/>
      <c r="K30" s="14"/>
      <c r="L30" s="14"/>
      <c r="M30" s="14"/>
      <c r="N30"/>
      <c r="O30" s="16">
        <f t="shared" si="6"/>
        <v>0</v>
      </c>
      <c r="P30" s="16">
        <f t="shared" si="7"/>
        <v>0</v>
      </c>
      <c r="Q30" s="16">
        <f t="shared" si="8"/>
        <v>0</v>
      </c>
    </row>
    <row r="31" spans="2:17" x14ac:dyDescent="0.5">
      <c r="B31" s="11"/>
      <c r="C31" s="11"/>
      <c r="D31" s="11"/>
      <c r="E31" s="13"/>
      <c r="F31" s="13"/>
      <c r="H31" s="1"/>
      <c r="I31" s="14"/>
      <c r="J31" s="15"/>
      <c r="K31" s="14"/>
      <c r="L31" s="14"/>
      <c r="M31" s="14"/>
      <c r="N31"/>
      <c r="O31" s="16">
        <f t="shared" si="6"/>
        <v>0</v>
      </c>
      <c r="P31" s="16">
        <f t="shared" si="7"/>
        <v>0</v>
      </c>
      <c r="Q31" s="16">
        <f t="shared" si="8"/>
        <v>0</v>
      </c>
    </row>
    <row r="32" spans="2:17" x14ac:dyDescent="0.5">
      <c r="B32" s="11"/>
      <c r="C32" s="11"/>
      <c r="D32" s="11"/>
      <c r="E32" s="13"/>
      <c r="F32" s="13"/>
      <c r="H32" s="1"/>
      <c r="I32" s="14"/>
      <c r="J32" s="15"/>
      <c r="K32" s="14"/>
      <c r="L32" s="14"/>
      <c r="M32" s="14"/>
      <c r="N32"/>
      <c r="O32" s="16">
        <f t="shared" si="6"/>
        <v>0</v>
      </c>
      <c r="P32" s="16">
        <f t="shared" si="7"/>
        <v>0</v>
      </c>
      <c r="Q32" s="16">
        <f t="shared" si="8"/>
        <v>0</v>
      </c>
    </row>
    <row r="33" spans="2:17" x14ac:dyDescent="0.5">
      <c r="B33" s="11"/>
      <c r="C33" s="11"/>
      <c r="D33" s="11"/>
      <c r="E33" s="13"/>
      <c r="F33" s="13"/>
      <c r="H33" s="1"/>
      <c r="I33" s="14"/>
      <c r="J33" s="15"/>
      <c r="K33" s="14"/>
      <c r="L33" s="14"/>
      <c r="M33" s="14"/>
      <c r="N33"/>
      <c r="O33" s="16">
        <f t="shared" si="6"/>
        <v>0</v>
      </c>
      <c r="P33" s="16">
        <f t="shared" si="7"/>
        <v>0</v>
      </c>
      <c r="Q33" s="16">
        <f t="shared" si="8"/>
        <v>0</v>
      </c>
    </row>
    <row r="34" spans="2:17" x14ac:dyDescent="0.5">
      <c r="B34" s="11"/>
      <c r="C34" s="11"/>
      <c r="D34" s="11"/>
      <c r="E34" s="13"/>
      <c r="F34" s="13"/>
      <c r="H34" s="1"/>
      <c r="I34" s="14"/>
      <c r="J34" s="15"/>
      <c r="K34" s="14"/>
      <c r="L34" s="14"/>
      <c r="M34" s="14"/>
      <c r="N34"/>
      <c r="O34" s="16">
        <f t="shared" si="6"/>
        <v>0</v>
      </c>
      <c r="P34" s="16">
        <f t="shared" si="7"/>
        <v>0</v>
      </c>
      <c r="Q34" s="16">
        <f t="shared" si="8"/>
        <v>0</v>
      </c>
    </row>
    <row r="35" spans="2:17" x14ac:dyDescent="0.5">
      <c r="B35" s="11"/>
      <c r="C35" s="11"/>
      <c r="D35" s="11"/>
      <c r="E35" s="13"/>
      <c r="F35" s="13"/>
      <c r="H35" s="1"/>
      <c r="I35" s="14"/>
      <c r="J35" s="15"/>
      <c r="K35" s="14"/>
      <c r="L35" s="14"/>
      <c r="M35" s="14"/>
      <c r="N35"/>
      <c r="O35" s="16">
        <f t="shared" si="6"/>
        <v>0</v>
      </c>
      <c r="P35" s="16">
        <f t="shared" si="7"/>
        <v>0</v>
      </c>
      <c r="Q35" s="16">
        <f t="shared" si="8"/>
        <v>0</v>
      </c>
    </row>
    <row r="36" spans="2:17" x14ac:dyDescent="0.5">
      <c r="B36" s="11"/>
      <c r="C36" s="11"/>
      <c r="D36" s="11"/>
      <c r="E36" s="13"/>
      <c r="F36" s="13"/>
      <c r="H36" s="1"/>
      <c r="I36" s="14"/>
      <c r="J36" s="15"/>
      <c r="K36" s="14"/>
      <c r="L36" s="14"/>
      <c r="M36" s="14"/>
      <c r="N36"/>
      <c r="O36" s="16">
        <f t="shared" si="6"/>
        <v>0</v>
      </c>
      <c r="P36" s="16">
        <f t="shared" si="7"/>
        <v>0</v>
      </c>
      <c r="Q36" s="16">
        <f t="shared" si="8"/>
        <v>0</v>
      </c>
    </row>
    <row r="37" spans="2:17" x14ac:dyDescent="0.5">
      <c r="B37" s="11"/>
      <c r="C37" s="11"/>
      <c r="D37" s="11"/>
      <c r="E37" s="13"/>
      <c r="F37" s="13"/>
      <c r="H37" s="1"/>
      <c r="I37" s="14"/>
      <c r="J37" s="15"/>
      <c r="K37" s="14"/>
      <c r="L37" s="14"/>
      <c r="M37" s="14"/>
      <c r="N37"/>
      <c r="O37" s="16">
        <f t="shared" si="6"/>
        <v>0</v>
      </c>
      <c r="P37" s="16">
        <f t="shared" si="7"/>
        <v>0</v>
      </c>
      <c r="Q37" s="16">
        <f t="shared" si="8"/>
        <v>0</v>
      </c>
    </row>
    <row r="38" spans="2:17" x14ac:dyDescent="0.5">
      <c r="B38" s="11"/>
      <c r="C38" s="11"/>
      <c r="D38" s="11"/>
      <c r="E38" s="13"/>
      <c r="F38" s="13"/>
      <c r="H38" s="1"/>
      <c r="I38" s="14"/>
      <c r="J38" s="15"/>
      <c r="K38" s="14"/>
      <c r="L38" s="14"/>
      <c r="M38" s="14"/>
      <c r="N38"/>
      <c r="O38" s="16">
        <f t="shared" si="6"/>
        <v>0</v>
      </c>
      <c r="P38" s="16">
        <f t="shared" si="7"/>
        <v>0</v>
      </c>
      <c r="Q38" s="16">
        <f t="shared" si="8"/>
        <v>0</v>
      </c>
    </row>
  </sheetData>
  <phoneticPr fontId="3"/>
  <conditionalFormatting sqref="V3:AA3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V5:AA5">
    <cfRule type="cellIs" dxfId="1" priority="1" operator="lessThan">
      <formula>0</formula>
    </cfRule>
    <cfRule type="cellIs" dxfId="0" priority="2" operator="greaterThan">
      <formula>0</formula>
    </cfRule>
  </conditionalFormatting>
  <pageMargins left="0.23622047244094491" right="0.23622047244094491" top="0.74803149606299213" bottom="0.74803149606299213" header="0.31496062992125984" footer="0.31496062992125984"/>
  <pageSetup paperSize="9" scale="75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レポート</vt:lpstr>
      <vt:lpstr>合計データ</vt:lpstr>
      <vt:lpstr>合計データ!Print_Area</vt:lpstr>
      <vt:lpstr>レポート!Print_Titles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中村義洋</cp:lastModifiedBy>
  <cp:revision>3</cp:revision>
  <cp:lastPrinted>2025-12-27T04:14:19Z</cp:lastPrinted>
  <dcterms:modified xsi:type="dcterms:W3CDTF">2026-01-09T04:25:36Z</dcterms:modified>
  <dc:language>ja-JP</dc:language>
</cp:coreProperties>
</file>