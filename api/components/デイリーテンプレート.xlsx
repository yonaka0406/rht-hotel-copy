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97ED86CA-FB44-4D55-8376-FA70AE8A8597}" xr6:coauthVersionLast="47" xr6:coauthVersionMax="47" xr10:uidLastSave="{00000000-0000-0000-0000-000000000000}"/>
  <bookViews>
    <workbookView xWindow="-37245" yWindow="465" windowWidth="26955" windowHeight="16410" tabRatio="500" xr2:uid="{00000000-000D-0000-FFFF-FFFF00000000}"/>
  </bookViews>
  <sheets>
    <sheet name="レポート" sheetId="1" r:id="rId1"/>
    <sheet name="合計データ" sheetId="2" r:id="rId2"/>
    <sheet name="積上データ1" sheetId="6" r:id="rId3"/>
    <sheet name="合計データ2" sheetId="3" r:id="rId4"/>
    <sheet name="合計データ3" sheetId="4" r:id="rId5"/>
  </sheets>
  <definedNames>
    <definedName name="_xlnm.Print_Area" localSheetId="1">合計データ!$A$1:$N$40</definedName>
    <definedName name="_xlnm.Print_Area" localSheetId="3">合計データ2!$A$1:$N$32</definedName>
    <definedName name="_xlnm.Print_Area" localSheetId="4">合計データ3!$A$1:$N$32</definedName>
    <definedName name="_xlnm.Print_Titles" localSheetId="0">レポート!$1:$1</definedName>
    <definedName name="稼働率" localSheetId="3">OFFSET(合計データ2!#REF!, 0, 0, COUNTA(合計データ2!$I$3:$I$991), 1)</definedName>
    <definedName name="稼働率" localSheetId="4">OFFSET(合計データ3!#REF!, 0, 0, COUNTA(合計データ3!$I$3:$I$992), 1)</definedName>
    <definedName name="稼働率">OFFSET(合計データ!$K$11, 0, 0, COUNTA(合計データ!$H$11:$H$1000), 1)</definedName>
    <definedName name="稼働率差異" localSheetId="3">OFFSET(合計データ2!#REF!, 0, 0, COUNTA(合計データ2!$I$3:$I$991), 1)</definedName>
    <definedName name="稼働率差異" localSheetId="4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3">OFFSET(合計データ2!#REF!, 0, 0, COUNTA(合計データ2!$I$3:$I$991), 1)</definedName>
    <definedName name="稼働率施設名" localSheetId="4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3">OFFSET(合計データ2!#REF!, 0, 0, COUNTA(合計データ2!$I$3:$I$991), 1)</definedName>
    <definedName name="計画稼働率" localSheetId="4">OFFSET(合計データ3!#REF!, 0, 0, COUNTA(合計データ3!$I$3:$I$992), 1)</definedName>
    <definedName name="計画稼働率">OFFSET(合計データ!$J$11, 0, 0, COUNTA(合計データ!$H$11:$H$1000), 1)</definedName>
    <definedName name="計画売上" localSheetId="3">OFFSET(合計データ2!#REF!, 0, 0, COUNTA(合計データ2!$A$3:$A$991), 1)</definedName>
    <definedName name="計画売上" localSheetId="4">OFFSET(合計データ3!#REF!, 0, 0, COUNTA(合計データ3!$A$3:$A$992), 1)</definedName>
    <definedName name="計画売上">OFFSET(合計データ!$O$11, 0, 0, COUNTA(合計データ!$A$11:$A$1000), 1)</definedName>
    <definedName name="売上" localSheetId="3">OFFSET(合計データ2!#REF!, 0, 0, COUNTA(合計データ2!$A$3:$A$991), 1)</definedName>
    <definedName name="売上" localSheetId="4">OFFSET(合計データ3!#REF!, 0, 0, COUNTA(合計データ3!$A$3:$A$992), 1)</definedName>
    <definedName name="売上">OFFSET(合計データ!$P$11, 0, 0, COUNTA(合計データ!$A$11:$A$1000), 1)</definedName>
    <definedName name="売上差異" localSheetId="3">OFFSET(合計データ2!#REF!, 0, 0, COUNTA(合計データ2!$A$3:$A$991), 1)</definedName>
    <definedName name="売上差異" localSheetId="4">OFFSET(合計データ3!#REF!, 0, 0, COUNTA(合計データ3!$A$3:$A$992), 1)</definedName>
    <definedName name="売上差異">OFFSET(合計データ!$Q$11, 0, 0, COUNTA(合計データ!$A$11:$A$1000), 1)</definedName>
    <definedName name="売上施設名" localSheetId="3">OFFSET(合計データ2!#REF!, 0, 0, COUNTA(合計データ2!$A$3:$A$991), 1)</definedName>
    <definedName name="売上施設名" localSheetId="4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2" i="2" l="1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11" i="2"/>
  <c r="A208" i="1"/>
  <c r="M7" i="6"/>
  <c r="M10" i="6" s="1"/>
  <c r="M13" i="6" s="1"/>
  <c r="M16" i="6" s="1"/>
  <c r="M19" i="6" s="1"/>
  <c r="M22" i="6" s="1"/>
  <c r="M25" i="6" s="1"/>
  <c r="M28" i="6" s="1"/>
  <c r="M31" i="6" s="1"/>
  <c r="M34" i="6" s="1"/>
  <c r="M37" i="6" s="1"/>
  <c r="M40" i="6" s="1"/>
  <c r="M43" i="6" s="1"/>
  <c r="M46" i="6" s="1"/>
  <c r="M49" i="6" s="1"/>
  <c r="M52" i="6" s="1"/>
  <c r="M55" i="6" s="1"/>
  <c r="M58" i="6" s="1"/>
  <c r="M61" i="6" s="1"/>
  <c r="M64" i="6" s="1"/>
  <c r="M67" i="6" s="1"/>
  <c r="M70" i="6" s="1"/>
  <c r="M73" i="6" s="1"/>
  <c r="M76" i="6" s="1"/>
  <c r="M79" i="6" s="1"/>
  <c r="M82" i="6" s="1"/>
  <c r="M85" i="6" s="1"/>
  <c r="M88" i="6" s="1"/>
  <c r="M91" i="6" s="1"/>
  <c r="A156" i="1"/>
  <c r="H6" i="6"/>
  <c r="H9" i="6" s="1"/>
  <c r="H12" i="6" s="1"/>
  <c r="H15" i="6" s="1"/>
  <c r="H18" i="6" s="1"/>
  <c r="H21" i="6" s="1"/>
  <c r="H24" i="6" s="1"/>
  <c r="N4" i="6"/>
  <c r="N5" i="6" s="1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N85" i="6" s="1"/>
  <c r="N86" i="6" s="1"/>
  <c r="N87" i="6" s="1"/>
  <c r="N88" i="6" s="1"/>
  <c r="N89" i="6" s="1"/>
  <c r="N90" i="6" s="1"/>
  <c r="N91" i="6" s="1"/>
  <c r="N92" i="6" s="1"/>
  <c r="L8" i="6"/>
  <c r="L11" i="6" s="1"/>
  <c r="L14" i="6" s="1"/>
  <c r="L17" i="6" s="1"/>
  <c r="L20" i="6" s="1"/>
  <c r="L23" i="6" s="1"/>
  <c r="L26" i="6" s="1"/>
  <c r="L29" i="6" s="1"/>
  <c r="L32" i="6" s="1"/>
  <c r="L35" i="6" s="1"/>
  <c r="L38" i="6" s="1"/>
  <c r="L41" i="6" s="1"/>
  <c r="L44" i="6" s="1"/>
  <c r="L47" i="6" s="1"/>
  <c r="L50" i="6" s="1"/>
  <c r="L53" i="6" s="1"/>
  <c r="L56" i="6" s="1"/>
  <c r="L59" i="6" s="1"/>
  <c r="L62" i="6" s="1"/>
  <c r="L65" i="6" s="1"/>
  <c r="L68" i="6" s="1"/>
  <c r="L71" i="6" s="1"/>
  <c r="L74" i="6" s="1"/>
  <c r="L77" i="6" s="1"/>
  <c r="L80" i="6" s="1"/>
  <c r="L83" i="6" s="1"/>
  <c r="L86" i="6" s="1"/>
  <c r="L89" i="6" s="1"/>
  <c r="L92" i="6" s="1"/>
  <c r="L7" i="6"/>
  <c r="L10" i="6" s="1"/>
  <c r="L13" i="6" s="1"/>
  <c r="L16" i="6" s="1"/>
  <c r="L19" i="6" s="1"/>
  <c r="L22" i="6" s="1"/>
  <c r="L25" i="6" s="1"/>
  <c r="L28" i="6" s="1"/>
  <c r="L31" i="6" s="1"/>
  <c r="L34" i="6" s="1"/>
  <c r="L37" i="6" s="1"/>
  <c r="L40" i="6" s="1"/>
  <c r="L43" i="6" s="1"/>
  <c r="L46" i="6" s="1"/>
  <c r="L49" i="6" s="1"/>
  <c r="L52" i="6" s="1"/>
  <c r="L55" i="6" s="1"/>
  <c r="L58" i="6" s="1"/>
  <c r="L61" i="6" s="1"/>
  <c r="L64" i="6" s="1"/>
  <c r="L67" i="6" s="1"/>
  <c r="L70" i="6" s="1"/>
  <c r="L73" i="6" s="1"/>
  <c r="L76" i="6" s="1"/>
  <c r="L79" i="6" s="1"/>
  <c r="L82" i="6" s="1"/>
  <c r="L85" i="6" s="1"/>
  <c r="L88" i="6" s="1"/>
  <c r="L91" i="6" s="1"/>
  <c r="L6" i="6"/>
  <c r="L9" i="6" s="1"/>
  <c r="L12" i="6" s="1"/>
  <c r="L15" i="6" s="1"/>
  <c r="L18" i="6" s="1"/>
  <c r="L21" i="6" s="1"/>
  <c r="L24" i="6" s="1"/>
  <c r="L27" i="6" s="1"/>
  <c r="L30" i="6" s="1"/>
  <c r="L33" i="6" s="1"/>
  <c r="L36" i="6" s="1"/>
  <c r="L39" i="6" s="1"/>
  <c r="L42" i="6" s="1"/>
  <c r="L45" i="6" s="1"/>
  <c r="L48" i="6" s="1"/>
  <c r="L51" i="6" s="1"/>
  <c r="L54" i="6" s="1"/>
  <c r="L57" i="6" s="1"/>
  <c r="L60" i="6" s="1"/>
  <c r="L63" i="6" s="1"/>
  <c r="L66" i="6" s="1"/>
  <c r="L69" i="6" s="1"/>
  <c r="L72" i="6" s="1"/>
  <c r="L75" i="6" s="1"/>
  <c r="L78" i="6" s="1"/>
  <c r="L81" i="6" s="1"/>
  <c r="L84" i="6" s="1"/>
  <c r="L87" i="6" s="1"/>
  <c r="L90" i="6" s="1"/>
  <c r="K4" i="6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J86" i="6" s="1"/>
  <c r="J87" i="6" s="1"/>
  <c r="J88" i="6" s="1"/>
  <c r="J89" i="6" s="1"/>
  <c r="J90" i="6" s="1"/>
  <c r="J91" i="6" s="1"/>
  <c r="J92" i="6" s="1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A9" i="2"/>
  <c r="C108" i="1" s="1"/>
  <c r="A21" i="6" a="1"/>
  <c r="A18" i="6" a="1"/>
  <c r="A15" i="6" a="1"/>
  <c r="A12" i="6" a="1"/>
  <c r="A9" i="6" a="1"/>
  <c r="A6" i="6" a="1"/>
  <c r="A3" i="6" a="1"/>
  <c r="C160" i="1" l="1"/>
  <c r="H27" i="6"/>
  <c r="A21" i="6"/>
  <c r="A18" i="6"/>
  <c r="A15" i="6"/>
  <c r="A12" i="6"/>
  <c r="A9" i="6"/>
  <c r="A6" i="6"/>
  <c r="A3" i="6"/>
  <c r="C56" i="1"/>
  <c r="H9" i="2"/>
  <c r="C212" i="1" s="1"/>
  <c r="A469" i="1"/>
  <c r="A364" i="1"/>
  <c r="H1" i="4"/>
  <c r="C420" i="1" s="1"/>
  <c r="A1" i="4"/>
  <c r="C368" i="1" s="1"/>
  <c r="H1" i="3"/>
  <c r="C316" i="1" s="1"/>
  <c r="A1" i="3"/>
  <c r="C264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416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312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260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04" i="1"/>
  <c r="A1" i="1"/>
  <c r="D10" i="6"/>
  <c r="D22" i="6"/>
  <c r="D16" i="6"/>
  <c r="D19" i="6"/>
  <c r="D13" i="6"/>
  <c r="D7" i="6"/>
  <c r="D4" i="6"/>
  <c r="C5" i="6"/>
  <c r="C3" i="6"/>
  <c r="C4" i="6"/>
  <c r="A24" i="6" a="1"/>
  <c r="E5" i="6"/>
  <c r="E4" i="6"/>
  <c r="E3" i="6"/>
  <c r="F22" i="6" l="1"/>
  <c r="F19" i="6"/>
  <c r="F16" i="6"/>
  <c r="F13" i="6"/>
  <c r="F10" i="6"/>
  <c r="F7" i="6"/>
  <c r="F4" i="6"/>
  <c r="A24" i="6"/>
  <c r="H30" i="6"/>
  <c r="A1" i="6"/>
  <c r="Q11" i="3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  <c r="D25" i="6"/>
  <c r="C23" i="6"/>
  <c r="C21" i="6"/>
  <c r="C22" i="6"/>
  <c r="C20" i="6"/>
  <c r="C19" i="6"/>
  <c r="C18" i="6"/>
  <c r="C17" i="6"/>
  <c r="C16" i="6"/>
  <c r="C15" i="6"/>
  <c r="C14" i="6"/>
  <c r="C12" i="6"/>
  <c r="C13" i="6"/>
  <c r="C11" i="6"/>
  <c r="C10" i="6"/>
  <c r="C9" i="6"/>
  <c r="C8" i="6"/>
  <c r="C6" i="6"/>
  <c r="C7" i="6"/>
  <c r="A27" i="6" a="1"/>
  <c r="E23" i="6"/>
  <c r="E22" i="6"/>
  <c r="E21" i="6"/>
  <c r="E20" i="6"/>
  <c r="E18" i="6"/>
  <c r="E19" i="6"/>
  <c r="E17" i="6"/>
  <c r="E16" i="6"/>
  <c r="E15" i="6"/>
  <c r="E14" i="6"/>
  <c r="E13" i="6"/>
  <c r="E12" i="6"/>
  <c r="E11" i="6"/>
  <c r="E10" i="6"/>
  <c r="E9" i="6"/>
  <c r="E8" i="6"/>
  <c r="E7" i="6"/>
  <c r="E6" i="6"/>
  <c r="F25" i="6" l="1"/>
  <c r="A27" i="6"/>
  <c r="H33" i="6"/>
  <c r="H36" i="6" s="1"/>
  <c r="D28" i="6"/>
  <c r="C26" i="6"/>
  <c r="C25" i="6"/>
  <c r="C24" i="6"/>
  <c r="A30" i="6" a="1"/>
  <c r="E24" i="6"/>
  <c r="E25" i="6"/>
  <c r="E26" i="6"/>
  <c r="A33" i="6" a="1"/>
  <c r="F28" i="6" l="1"/>
  <c r="H39" i="6"/>
  <c r="A33" i="6"/>
  <c r="A30" i="6"/>
  <c r="D34" i="6"/>
  <c r="D31" i="6"/>
  <c r="C29" i="6"/>
  <c r="C27" i="6"/>
  <c r="C28" i="6"/>
  <c r="A36" i="6" a="1"/>
  <c r="E27" i="6"/>
  <c r="E28" i="6"/>
  <c r="E29" i="6"/>
  <c r="E31" i="6"/>
  <c r="E30" i="6"/>
  <c r="E34" i="6"/>
  <c r="E33" i="6"/>
  <c r="E35" i="6"/>
  <c r="E32" i="6"/>
  <c r="F31" i="6" l="1"/>
  <c r="A36" i="6"/>
  <c r="H42" i="6"/>
  <c r="D37" i="6"/>
  <c r="C35" i="6"/>
  <c r="C34" i="6"/>
  <c r="C33" i="6"/>
  <c r="C32" i="6"/>
  <c r="C30" i="6"/>
  <c r="C31" i="6"/>
  <c r="A39" i="6" a="1"/>
  <c r="F37" i="6" l="1"/>
  <c r="F34" i="6"/>
  <c r="A39" i="6"/>
  <c r="H45" i="6"/>
  <c r="H48" i="6" s="1"/>
  <c r="D40" i="6"/>
  <c r="C38" i="6"/>
  <c r="C36" i="6"/>
  <c r="C37" i="6"/>
  <c r="A45" i="6" a="1"/>
  <c r="A42" i="6" a="1"/>
  <c r="E38" i="6"/>
  <c r="E36" i="6"/>
  <c r="E37" i="6"/>
  <c r="F40" i="6" l="1"/>
  <c r="H51" i="6"/>
  <c r="A42" i="6"/>
  <c r="A45" i="6"/>
  <c r="D43" i="6"/>
  <c r="D46" i="6"/>
  <c r="C41" i="6"/>
  <c r="C40" i="6"/>
  <c r="C39" i="6"/>
  <c r="A48" i="6" a="1"/>
  <c r="E39" i="6"/>
  <c r="E41" i="6"/>
  <c r="E40" i="6"/>
  <c r="E46" i="6"/>
  <c r="E43" i="6"/>
  <c r="E44" i="6"/>
  <c r="E45" i="6"/>
  <c r="E47" i="6"/>
  <c r="E42" i="6"/>
  <c r="F46" i="6" l="1"/>
  <c r="F43" i="6"/>
  <c r="A48" i="6"/>
  <c r="H54" i="6"/>
  <c r="D49" i="6"/>
  <c r="C47" i="6"/>
  <c r="C45" i="6"/>
  <c r="C46" i="6"/>
  <c r="C44" i="6"/>
  <c r="C42" i="6"/>
  <c r="C43" i="6"/>
  <c r="A51" i="6" a="1"/>
  <c r="A51" i="6" l="1"/>
  <c r="H57" i="6"/>
  <c r="H60" i="6" s="1"/>
  <c r="D52" i="6"/>
  <c r="C50" i="6"/>
  <c r="C49" i="6"/>
  <c r="C48" i="6"/>
  <c r="A54" i="6" a="1"/>
  <c r="A57" i="6" a="1"/>
  <c r="E48" i="6"/>
  <c r="E50" i="6"/>
  <c r="E49" i="6"/>
  <c r="F52" i="6" l="1"/>
  <c r="F49" i="6"/>
  <c r="H63" i="6"/>
  <c r="A57" i="6"/>
  <c r="A54" i="6"/>
  <c r="D58" i="6"/>
  <c r="D55" i="6"/>
  <c r="C53" i="6"/>
  <c r="C52" i="6"/>
  <c r="C51" i="6"/>
  <c r="A60" i="6" a="1"/>
  <c r="E51" i="6"/>
  <c r="E52" i="6"/>
  <c r="E53" i="6"/>
  <c r="E55" i="6"/>
  <c r="E56" i="6"/>
  <c r="E58" i="6"/>
  <c r="E54" i="6"/>
  <c r="E57" i="6"/>
  <c r="E59" i="6"/>
  <c r="F58" i="6" l="1"/>
  <c r="F55" i="6"/>
  <c r="A60" i="6"/>
  <c r="H66" i="6"/>
  <c r="D61" i="6"/>
  <c r="C59" i="6"/>
  <c r="C58" i="6"/>
  <c r="C57" i="6"/>
  <c r="C56" i="6"/>
  <c r="C54" i="6"/>
  <c r="C55" i="6"/>
  <c r="A63" i="6" a="1"/>
  <c r="F61" i="6" l="1"/>
  <c r="A63" i="6"/>
  <c r="H69" i="6"/>
  <c r="H72" i="6" s="1"/>
  <c r="D64" i="6"/>
  <c r="C62" i="6"/>
  <c r="C60" i="6"/>
  <c r="C61" i="6"/>
  <c r="E61" i="6"/>
  <c r="E62" i="6"/>
  <c r="A66" i="6" a="1"/>
  <c r="A69" i="6" a="1"/>
  <c r="E60" i="6"/>
  <c r="F64" i="6" l="1"/>
  <c r="H75" i="6"/>
  <c r="A69" i="6"/>
  <c r="A66" i="6"/>
  <c r="D70" i="6"/>
  <c r="D67" i="6"/>
  <c r="C65" i="6"/>
  <c r="C64" i="6"/>
  <c r="C63" i="6"/>
  <c r="A72" i="6" a="1"/>
  <c r="E63" i="6"/>
  <c r="E64" i="6"/>
  <c r="E65" i="6"/>
  <c r="E66" i="6"/>
  <c r="E67" i="6"/>
  <c r="E68" i="6"/>
  <c r="E70" i="6"/>
  <c r="E69" i="6"/>
  <c r="E71" i="6"/>
  <c r="F70" i="6" l="1"/>
  <c r="F67" i="6"/>
  <c r="A72" i="6"/>
  <c r="H78" i="6"/>
  <c r="D73" i="6"/>
  <c r="C71" i="6"/>
  <c r="C70" i="6"/>
  <c r="C69" i="6"/>
  <c r="C68" i="6"/>
  <c r="C67" i="6"/>
  <c r="C66" i="6"/>
  <c r="A75" i="6" a="1"/>
  <c r="F73" i="6" l="1"/>
  <c r="A75" i="6"/>
  <c r="H81" i="6"/>
  <c r="H84" i="6" s="1"/>
  <c r="D76" i="6"/>
  <c r="C74" i="6"/>
  <c r="C72" i="6"/>
  <c r="C73" i="6"/>
  <c r="A84" i="6" a="1"/>
  <c r="A78" i="6" a="1"/>
  <c r="A81" i="6" a="1"/>
  <c r="E74" i="6"/>
  <c r="E72" i="6"/>
  <c r="E73" i="6"/>
  <c r="F76" i="6" l="1"/>
  <c r="A84" i="6"/>
  <c r="H87" i="6"/>
  <c r="A81" i="6"/>
  <c r="A78" i="6"/>
  <c r="D82" i="6"/>
  <c r="D79" i="6"/>
  <c r="D85" i="6"/>
  <c r="C77" i="6"/>
  <c r="C76" i="6"/>
  <c r="C75" i="6"/>
  <c r="E84" i="6"/>
  <c r="E85" i="6"/>
  <c r="E86" i="6"/>
  <c r="A87" i="6" a="1"/>
  <c r="E75" i="6"/>
  <c r="E76" i="6"/>
  <c r="E77" i="6"/>
  <c r="E78" i="6"/>
  <c r="E80" i="6"/>
  <c r="E83" i="6"/>
  <c r="E79" i="6"/>
  <c r="E82" i="6"/>
  <c r="E81" i="6"/>
  <c r="F85" i="6" l="1"/>
  <c r="F82" i="6"/>
  <c r="F79" i="6"/>
  <c r="A87" i="6"/>
  <c r="H90" i="6"/>
  <c r="D88" i="6"/>
  <c r="C86" i="6"/>
  <c r="C85" i="6"/>
  <c r="C84" i="6"/>
  <c r="C83" i="6"/>
  <c r="C82" i="6"/>
  <c r="C81" i="6"/>
  <c r="C80" i="6"/>
  <c r="C79" i="6"/>
  <c r="C78" i="6"/>
  <c r="E87" i="6"/>
  <c r="E88" i="6"/>
  <c r="E89" i="6"/>
  <c r="A90" i="6" a="1"/>
  <c r="F88" i="6" l="1"/>
  <c r="A90" i="6"/>
  <c r="D91" i="6"/>
  <c r="C89" i="6"/>
  <c r="C87" i="6"/>
  <c r="C88" i="6"/>
  <c r="E90" i="6"/>
  <c r="E91" i="6"/>
  <c r="E92" i="6"/>
  <c r="C92" i="6"/>
  <c r="C91" i="6"/>
  <c r="C90" i="6"/>
  <c r="F91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<sst xmlns="http://schemas.openxmlformats.org/spreadsheetml/2006/main" count="190" uniqueCount="57">
  <si>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</si>
  <si>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</si>
  <si>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</si>
  <si>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</si>
  <si>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</si>
  <si>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</si>
  <si>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</si>
  <si>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</si>
  <si>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</si>
  <si>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</si>
  <si>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</si>
  <si>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</si>
  <si>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</si>
  <si>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</si>
  <si>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</si>
  <si>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</si>
  <si>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</si>
  <si>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</si>
  <si>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</si>
  <si>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</si>
  <si>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</si>
  <si>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</si>
  <si>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</si>
  <si>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</si>
  <si>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</si>
  <si>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</si>
  <si>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</si>
  <si>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</si>
  <si>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</si>
  <si>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</si>
  <si>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</si>
  <si>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</si>
  <si>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</si>
  <si>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</si>
  <si>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</si>
  <si>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</si>
  <si>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</si>
  <si>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</si>
  <si>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</si>
  <si>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</si>
  <si>
    <t>仮売上</t>
    <rPh sb="0" eb="1">
      <t>カリ</t>
    </rPh>
    <rPh sb="1" eb="3">
      <t>ウリアゲ</t>
    </rPh>
    <phoneticPr fontId="2"/>
  </si>
  <si>
    <t>仮売上</t>
    <rPh sb="0" eb="1">
      <t>カリ</t>
    </rPh>
    <rPh sb="1" eb="3">
      <t>ウリアゲ</t>
    </rPh>
    <phoneticPr fontId="21"/>
  </si>
  <si>
    <t>計画（万円)</t>
    <rPh sb="0" eb="2">
      <t>ケイカク</t>
    </rPh>
    <phoneticPr fontId="21"/>
  </si>
  <si>
    <t>見込（万円)</t>
    <rPh sb="0" eb="2">
      <t>ミコ</t>
    </rPh>
    <phoneticPr fontId="21"/>
  </si>
  <si>
    <t>差分（万円)</t>
    <rPh sb="0" eb="2">
      <t>サブン</t>
    </rPh>
    <phoneticPr fontId="21"/>
  </si>
  <si>
    <t>合計データ</t>
    <rPh sb="0" eb="2">
      <t>ゴウケイ</t>
    </rPh>
    <phoneticPr fontId="2"/>
  </si>
  <si>
    <t>A11</t>
    <phoneticPr fontId="2"/>
  </si>
  <si>
    <t>F40</t>
    <phoneticPr fontId="2"/>
  </si>
  <si>
    <t>列番</t>
    <rPh sb="0" eb="1">
      <t>レツ</t>
    </rPh>
    <phoneticPr fontId="2"/>
  </si>
  <si>
    <t>範囲</t>
    <rPh sb="0" eb="2">
      <t>ハンイ</t>
    </rPh>
    <phoneticPr fontId="2"/>
  </si>
  <si>
    <t>シート名</t>
    <rPh sb="3" eb="4">
      <t>ナ</t>
    </rPh>
    <phoneticPr fontId="2"/>
  </si>
  <si>
    <t>行番</t>
    <rPh sb="0" eb="1">
      <t>ギョウ</t>
    </rPh>
    <rPh sb="1" eb="2">
      <t>バン</t>
    </rPh>
    <phoneticPr fontId="2"/>
  </si>
  <si>
    <t>見込売上</t>
    <rPh sb="0" eb="2">
      <t>ミコ</t>
    </rPh>
    <phoneticPr fontId="21"/>
  </si>
  <si>
    <t>仮売上（万円)</t>
    <rPh sb="0" eb="1">
      <t>カリ</t>
    </rPh>
    <rPh sb="1" eb="3">
      <t>ウリアゲ</t>
    </rPh>
    <phoneticPr fontId="2"/>
  </si>
  <si>
    <t>売上合計</t>
    <rPh sb="0" eb="2">
      <t>ウリアゲ</t>
    </rPh>
    <rPh sb="2" eb="4">
      <t>ゴウケイ</t>
    </rPh>
    <phoneticPr fontId="2"/>
  </si>
  <si>
    <t>↑ 積み上げグラフなら不要</t>
    <rPh sb="2" eb="3">
      <t>ツ</t>
    </rPh>
    <rPh sb="4" eb="5">
      <t>ア</t>
    </rPh>
    <rPh sb="11" eb="13">
      <t>フヨウ</t>
    </rPh>
    <phoneticPr fontId="2"/>
  </si>
  <si>
    <t>仮含む稼働率</t>
    <rPh sb="0" eb="1">
      <t>カリ</t>
    </rPh>
    <rPh sb="1" eb="2">
      <t>フク</t>
    </rPh>
    <rPh sb="3" eb="6">
      <t>カドウリツ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</si>
</sst>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 * #,##0_ ;_ * \-#,##0_ ;_ * &quot;-&quot;_ ;_ @_ "/>
    <numFmt numFmtId="176" formatCode="0.0%"/>
    <numFmt numFmtId="177" formatCode="yyyy/mm/dd"/>
    <numFmt numFmtId="178" formatCode="0_ ;[Red]\-0\ "/>
    <numFmt numFmtId="182" formatCode="#,##0_ ;[Red]\-#,##0\ "/>
    <numFmt numFmtId="184" formatCode="yyyy/m/d;@"/>
    <numFmt numFmtId="186" formatCode="0;\-0;;@"/>
  </numFmts>
  <fonts count="22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  <font>
      <sz val="6"/>
      <name val="Arial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medium">
        <color theme="4" tint="-0.2499465926084170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 style="medium">
        <color theme="5" tint="-0.2499465926084170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121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41" fontId="6" fillId="0" borderId="1" xfId="1" applyFont="1" applyBorder="1" applyAlignment="1">
      <alignment horizontal="center"/>
    </xf>
    <xf numFmtId="41" fontId="6" fillId="0" borderId="1" xfId="1" applyFont="1" applyBorder="1" applyAlignment="1"/>
    <xf numFmtId="0" fontId="5" fillId="0" borderId="1" xfId="0" applyFont="1" applyBorder="1"/>
    <xf numFmtId="0" fontId="17" fillId="4" borderId="5" xfId="0" applyFont="1" applyFill="1" applyBorder="1"/>
    <xf numFmtId="177" fontId="4" fillId="4" borderId="5" xfId="0" applyNumberFormat="1" applyFont="1" applyFill="1" applyBorder="1"/>
    <xf numFmtId="0" fontId="19" fillId="0" borderId="5" xfId="0" applyFont="1" applyBorder="1"/>
    <xf numFmtId="177" fontId="4" fillId="0" borderId="5" xfId="0" applyNumberFormat="1" applyFont="1" applyBorder="1"/>
    <xf numFmtId="0" fontId="19" fillId="4" borderId="5" xfId="0" applyFont="1" applyFill="1" applyBorder="1"/>
    <xf numFmtId="41" fontId="4" fillId="4" borderId="5" xfId="1" applyFont="1" applyFill="1" applyBorder="1"/>
    <xf numFmtId="41" fontId="4" fillId="0" borderId="5" xfId="1" applyFont="1" applyBorder="1"/>
    <xf numFmtId="178" fontId="4" fillId="0" borderId="5" xfId="1" applyNumberFormat="1" applyFont="1" applyBorder="1"/>
    <xf numFmtId="0" fontId="18" fillId="0" borderId="5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20" fillId="5" borderId="5" xfId="0" applyFont="1" applyFill="1" applyBorder="1" applyAlignment="1">
      <alignment horizontal="center" vertical="center"/>
    </xf>
    <xf numFmtId="178" fontId="4" fillId="0" borderId="6" xfId="1" applyNumberFormat="1" applyFont="1" applyBorder="1"/>
    <xf numFmtId="0" fontId="20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17" fillId="4" borderId="8" xfId="0" applyFont="1" applyFill="1" applyBorder="1"/>
    <xf numFmtId="177" fontId="4" fillId="4" borderId="8" xfId="0" applyNumberFormat="1" applyFont="1" applyFill="1" applyBorder="1"/>
    <xf numFmtId="178" fontId="4" fillId="4" borderId="8" xfId="0" applyNumberFormat="1" applyFont="1" applyFill="1" applyBorder="1"/>
    <xf numFmtId="178" fontId="4" fillId="4" borderId="7" xfId="0" applyNumberFormat="1" applyFont="1" applyFill="1" applyBorder="1"/>
    <xf numFmtId="0" fontId="19" fillId="0" borderId="8" xfId="0" applyFont="1" applyBorder="1"/>
    <xf numFmtId="177" fontId="4" fillId="0" borderId="8" xfId="0" applyNumberFormat="1" applyFont="1" applyBorder="1"/>
    <xf numFmtId="178" fontId="4" fillId="0" borderId="8" xfId="0" applyNumberFormat="1" applyFont="1" applyBorder="1"/>
    <xf numFmtId="178" fontId="4" fillId="0" borderId="7" xfId="3" applyNumberFormat="1" applyFont="1" applyBorder="1"/>
    <xf numFmtId="0" fontId="19" fillId="4" borderId="8" xfId="0" applyFont="1" applyFill="1" applyBorder="1"/>
    <xf numFmtId="178" fontId="4" fillId="4" borderId="7" xfId="3" applyNumberFormat="1" applyFont="1" applyFill="1" applyBorder="1"/>
    <xf numFmtId="178" fontId="4" fillId="4" borderId="8" xfId="1" applyNumberFormat="1" applyFont="1" applyFill="1" applyBorder="1"/>
    <xf numFmtId="178" fontId="4" fillId="4" borderId="7" xfId="1" applyNumberFormat="1" applyFont="1" applyFill="1" applyBorder="1"/>
    <xf numFmtId="0" fontId="19" fillId="0" borderId="6" xfId="0" applyFont="1" applyBorder="1"/>
    <xf numFmtId="3" fontId="4" fillId="4" borderId="8" xfId="0" applyNumberFormat="1" applyFont="1" applyFill="1" applyBorder="1"/>
    <xf numFmtId="176" fontId="4" fillId="4" borderId="8" xfId="0" applyNumberFormat="1" applyFont="1" applyFill="1" applyBorder="1"/>
    <xf numFmtId="176" fontId="4" fillId="4" borderId="7" xfId="0" applyNumberFormat="1" applyFont="1" applyFill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176" fontId="4" fillId="4" borderId="8" xfId="3" applyNumberFormat="1" applyFont="1" applyFill="1" applyBorder="1"/>
    <xf numFmtId="176" fontId="4" fillId="4" borderId="7" xfId="3" applyNumberFormat="1" applyFont="1" applyFill="1" applyBorder="1"/>
    <xf numFmtId="41" fontId="4" fillId="4" borderId="8" xfId="1" applyFont="1" applyFill="1" applyBorder="1"/>
    <xf numFmtId="41" fontId="4" fillId="4" borderId="7" xfId="1" applyFont="1" applyFill="1" applyBorder="1"/>
    <xf numFmtId="41" fontId="4" fillId="0" borderId="6" xfId="1" applyFont="1" applyBorder="1"/>
    <xf numFmtId="178" fontId="4" fillId="0" borderId="7" xfId="0" applyNumberFormat="1" applyFont="1" applyBorder="1"/>
    <xf numFmtId="0" fontId="18" fillId="7" borderId="6" xfId="0" applyFont="1" applyFill="1" applyBorder="1" applyAlignment="1">
      <alignment horizontal="center" vertical="center"/>
    </xf>
    <xf numFmtId="178" fontId="4" fillId="4" borderId="6" xfId="1" applyNumberFormat="1" applyFont="1" applyFill="1" applyBorder="1"/>
    <xf numFmtId="0" fontId="20" fillId="8" borderId="9" xfId="0" applyFont="1" applyFill="1" applyBorder="1" applyAlignment="1">
      <alignment horizontal="center" vertical="center"/>
    </xf>
    <xf numFmtId="178" fontId="19" fillId="4" borderId="9" xfId="0" applyNumberFormat="1" applyFont="1" applyFill="1" applyBorder="1"/>
    <xf numFmtId="178" fontId="19" fillId="0" borderId="9" xfId="0" applyNumberFormat="1" applyFont="1" applyBorder="1"/>
    <xf numFmtId="0" fontId="20" fillId="6" borderId="10" xfId="0" applyFont="1" applyFill="1" applyBorder="1" applyAlignment="1">
      <alignment horizontal="center" vertical="center"/>
    </xf>
    <xf numFmtId="178" fontId="4" fillId="4" borderId="11" xfId="0" applyNumberFormat="1" applyFont="1" applyFill="1" applyBorder="1"/>
    <xf numFmtId="178" fontId="4" fillId="0" borderId="11" xfId="3" applyNumberFormat="1" applyFont="1" applyBorder="1"/>
    <xf numFmtId="178" fontId="4" fillId="4" borderId="11" xfId="3" applyNumberFormat="1" applyFont="1" applyFill="1" applyBorder="1"/>
    <xf numFmtId="178" fontId="4" fillId="4" borderId="11" xfId="1" applyNumberFormat="1" applyFont="1" applyFill="1" applyBorder="1"/>
    <xf numFmtId="178" fontId="4" fillId="0" borderId="12" xfId="1" applyNumberFormat="1" applyFont="1" applyBorder="1"/>
    <xf numFmtId="0" fontId="20" fillId="8" borderId="13" xfId="0" applyFont="1" applyFill="1" applyBorder="1" applyAlignment="1">
      <alignment horizontal="center" vertical="center"/>
    </xf>
    <xf numFmtId="176" fontId="4" fillId="4" borderId="13" xfId="0" applyNumberFormat="1" applyFont="1" applyFill="1" applyBorder="1"/>
    <xf numFmtId="176" fontId="4" fillId="0" borderId="13" xfId="3" applyNumberFormat="1" applyFont="1" applyBorder="1"/>
    <xf numFmtId="176" fontId="4" fillId="4" borderId="13" xfId="3" applyNumberFormat="1" applyFont="1" applyFill="1" applyBorder="1"/>
    <xf numFmtId="41" fontId="4" fillId="4" borderId="13" xfId="1" applyFont="1" applyFill="1" applyBorder="1"/>
    <xf numFmtId="41" fontId="4" fillId="0" borderId="9" xfId="1" applyFont="1" applyBorder="1"/>
    <xf numFmtId="176" fontId="4" fillId="4" borderId="15" xfId="0" applyNumberFormat="1" applyFont="1" applyFill="1" applyBorder="1"/>
    <xf numFmtId="176" fontId="19" fillId="0" borderId="15" xfId="0" applyNumberFormat="1" applyFont="1" applyBorder="1"/>
    <xf numFmtId="176" fontId="19" fillId="4" borderId="15" xfId="0" applyNumberFormat="1" applyFont="1" applyFill="1" applyBorder="1"/>
    <xf numFmtId="41" fontId="4" fillId="4" borderId="15" xfId="1" applyFont="1" applyFill="1" applyBorder="1"/>
    <xf numFmtId="41" fontId="4" fillId="0" borderId="16" xfId="1" applyFont="1" applyBorder="1"/>
    <xf numFmtId="0" fontId="0" fillId="0" borderId="0" xfId="0" applyAlignment="1">
      <alignment horizontal="left" wrapText="1"/>
    </xf>
    <xf numFmtId="0" fontId="12" fillId="0" borderId="0" xfId="0" applyFont="1" applyAlignment="1">
      <alignment horizontal="center"/>
    </xf>
    <xf numFmtId="41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  <xf numFmtId="3" fontId="4" fillId="4" borderId="6" xfId="0" applyNumberFormat="1" applyFont="1" applyFill="1" applyBorder="1"/>
    <xf numFmtId="3" fontId="4" fillId="4" borderId="11" xfId="0" applyNumberFormat="1" applyFont="1" applyFill="1" applyBorder="1"/>
    <xf numFmtId="3" fontId="4" fillId="4" borderId="9" xfId="0" applyNumberFormat="1" applyFont="1" applyFill="1" applyBorder="1"/>
    <xf numFmtId="3" fontId="4" fillId="0" borderId="6" xfId="3" applyNumberFormat="1" applyFont="1" applyBorder="1"/>
    <xf numFmtId="3" fontId="4" fillId="0" borderId="11" xfId="3" applyNumberFormat="1" applyFont="1" applyBorder="1"/>
    <xf numFmtId="3" fontId="4" fillId="0" borderId="9" xfId="0" applyNumberFormat="1" applyFont="1" applyBorder="1"/>
    <xf numFmtId="3" fontId="4" fillId="4" borderId="6" xfId="3" applyNumberFormat="1" applyFont="1" applyFill="1" applyBorder="1"/>
    <xf numFmtId="3" fontId="4" fillId="4" borderId="11" xfId="3" applyNumberFormat="1" applyFont="1" applyFill="1" applyBorder="1"/>
    <xf numFmtId="182" fontId="0" fillId="0" borderId="0" xfId="0" applyNumberFormat="1" applyAlignment="1">
      <alignment vertical="center"/>
    </xf>
    <xf numFmtId="182" fontId="0" fillId="0" borderId="0" xfId="0" applyNumberFormat="1"/>
    <xf numFmtId="184" fontId="0" fillId="0" borderId="0" xfId="0" applyNumberFormat="1"/>
    <xf numFmtId="0" fontId="0" fillId="0" borderId="0" xfId="0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86" fontId="0" fillId="0" borderId="0" xfId="0" applyNumberFormat="1" applyAlignment="1">
      <alignment vertical="center"/>
    </xf>
    <xf numFmtId="0" fontId="20" fillId="9" borderId="14" xfId="0" applyFont="1" applyFill="1" applyBorder="1" applyAlignment="1">
      <alignment horizontal="center" vertic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strRef>
              <c:f>積上データ1!$C$2</c:f>
              <c:strCache>
                <c:ptCount val="1"/>
                <c:pt idx="0">
                  <c:v>見込売上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8874-4C1C-A29F-E48B10EE9F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0-8874-4C1C-A29F-E48B10EE9F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3-8874-4C1C-A29F-E48B10EE9F2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8874-4C1C-A29F-E48B10EE9F2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2-8874-4C1C-A29F-E48B10EE9F2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8874-4C1C-A29F-E48B10EE9F2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1-8874-4C1C-A29F-E48B10EE9F2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8874-4C1C-A29F-E48B10EE9F23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0-8874-4C1C-A29F-E48B10EE9F2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C-8874-4C1C-A29F-E48B10EE9F23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F-8874-4C1C-A29F-E48B10EE9F2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8874-4C1C-A29F-E48B10EE9F2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E-8874-4C1C-A29F-E48B10EE9F23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874-4C1C-A29F-E48B10EE9F23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D-8874-4C1C-A29F-E48B10EE9F23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8874-4C1C-A29F-E48B10EE9F23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C-8874-4C1C-A29F-E48B10EE9F23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8-8874-4C1C-A29F-E48B10EE9F23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B-8874-4C1C-A29F-E48B10EE9F23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8874-4C1C-A29F-E48B10EE9F23}"/>
              </c:ext>
            </c:extLst>
          </c:dPt>
          <c:dPt>
            <c:idx val="3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A-8874-4C1C-A29F-E48B10EE9F23}"/>
              </c:ext>
            </c:extLst>
          </c:dPt>
          <c:dPt>
            <c:idx val="3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8874-4C1C-A29F-E48B10EE9F23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9-8874-4C1C-A29F-E48B10EE9F23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8874-4C1C-A29F-E48B10EE9F23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8-8874-4C1C-A29F-E48B10EE9F23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8874-4C1C-A29F-E48B10EE9F23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7-8874-4C1C-A29F-E48B10EE9F23}"/>
              </c:ext>
            </c:extLst>
          </c:dPt>
          <c:dPt>
            <c:idx val="4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8874-4C1C-A29F-E48B10EE9F23}"/>
              </c:ext>
            </c:extLst>
          </c:dPt>
          <c:dPt>
            <c:idx val="4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6-8874-4C1C-A29F-E48B10EE9F23}"/>
              </c:ext>
            </c:extLst>
          </c:dPt>
          <c:dPt>
            <c:idx val="4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8874-4C1C-A29F-E48B10EE9F23}"/>
              </c:ext>
            </c:extLst>
          </c:dPt>
          <c:dPt>
            <c:idx val="4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5-8874-4C1C-A29F-E48B10EE9F23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8874-4C1C-A29F-E48B10EE9F23}"/>
              </c:ext>
            </c:extLst>
          </c:dPt>
          <c:dPt>
            <c:idx val="48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4-8874-4C1C-A29F-E48B10EE9F23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8874-4C1C-A29F-E48B10EE9F23}"/>
              </c:ext>
            </c:extLst>
          </c:dPt>
          <c:dPt>
            <c:idx val="51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3-8874-4C1C-A29F-E48B10EE9F23}"/>
              </c:ext>
            </c:extLst>
          </c:dPt>
          <c:dPt>
            <c:idx val="5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874-4C1C-A29F-E48B10EE9F23}"/>
              </c:ext>
            </c:extLst>
          </c:dPt>
          <c:dPt>
            <c:idx val="5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2-8874-4C1C-A29F-E48B10EE9F23}"/>
              </c:ext>
            </c:extLst>
          </c:dPt>
          <c:dPt>
            <c:idx val="5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8874-4C1C-A29F-E48B10EE9F23}"/>
              </c:ext>
            </c:extLst>
          </c:dPt>
          <c:dPt>
            <c:idx val="57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1-8874-4C1C-A29F-E48B10EE9F23}"/>
              </c:ext>
            </c:extLst>
          </c:dPt>
          <c:dPt>
            <c:idx val="5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8874-4C1C-A29F-E48B10EE9F23}"/>
              </c:ext>
            </c:extLst>
          </c:dPt>
          <c:dPt>
            <c:idx val="6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0-8874-4C1C-A29F-E48B10EE9F23}"/>
              </c:ext>
            </c:extLst>
          </c:dPt>
          <c:dPt>
            <c:idx val="6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8874-4C1C-A29F-E48B10EE9F23}"/>
              </c:ext>
            </c:extLst>
          </c:dPt>
          <c:dPt>
            <c:idx val="63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F-8874-4C1C-A29F-E48B10EE9F23}"/>
              </c:ext>
            </c:extLst>
          </c:dPt>
          <c:dPt>
            <c:idx val="6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8874-4C1C-A29F-E48B10EE9F23}"/>
              </c:ext>
            </c:extLst>
          </c:dPt>
          <c:dPt>
            <c:idx val="66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E-8874-4C1C-A29F-E48B10EE9F23}"/>
              </c:ext>
            </c:extLst>
          </c:dPt>
          <c:dPt>
            <c:idx val="6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8874-4C1C-A29F-E48B10EE9F23}"/>
              </c:ext>
            </c:extLst>
          </c:dPt>
          <c:dPt>
            <c:idx val="69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D-8874-4C1C-A29F-E48B10EE9F23}"/>
              </c:ext>
            </c:extLst>
          </c:dPt>
          <c:dPt>
            <c:idx val="7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8874-4C1C-A29F-E48B10EE9F23}"/>
              </c:ext>
            </c:extLst>
          </c:dPt>
          <c:dPt>
            <c:idx val="7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C-8874-4C1C-A29F-E48B10EE9F23}"/>
              </c:ext>
            </c:extLst>
          </c:dPt>
          <c:dPt>
            <c:idx val="7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8874-4C1C-A29F-E48B10EE9F23}"/>
              </c:ext>
            </c:extLst>
          </c:dPt>
          <c:dPt>
            <c:idx val="7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B-8874-4C1C-A29F-E48B10EE9F23}"/>
              </c:ext>
            </c:extLst>
          </c:dPt>
          <c:dPt>
            <c:idx val="7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8874-4C1C-A29F-E48B10EE9F23}"/>
              </c:ext>
            </c:extLst>
          </c:dPt>
          <c:dPt>
            <c:idx val="78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A-8874-4C1C-A29F-E48B10EE9F23}"/>
              </c:ext>
            </c:extLst>
          </c:dPt>
          <c:dPt>
            <c:idx val="8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8874-4C1C-A29F-E48B10EE9F23}"/>
              </c:ext>
            </c:extLst>
          </c:dPt>
          <c:dPt>
            <c:idx val="81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5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9-8874-4C1C-A29F-E48B10EE9F23}"/>
              </c:ext>
            </c:extLst>
          </c:dPt>
          <c:dPt>
            <c:idx val="8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3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8874-4C1C-A29F-E48B10EE9F23}"/>
              </c:ext>
            </c:extLst>
          </c:dPt>
          <c:dLbls>
            <c:dLbl>
              <c:idx val="1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B-8874-4C1C-A29F-E48B10EE9F23}"/>
                </c:ext>
              </c:extLst>
            </c:dLbl>
            <c:dLbl>
              <c:idx val="4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A-8874-4C1C-A29F-E48B10EE9F23}"/>
                </c:ext>
              </c:extLst>
            </c:dLbl>
            <c:dLbl>
              <c:idx val="7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9-8874-4C1C-A29F-E48B10EE9F23}"/>
                </c:ext>
              </c:extLst>
            </c:dLbl>
            <c:dLbl>
              <c:idx val="10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8-8874-4C1C-A29F-E48B10EE9F23}"/>
                </c:ext>
              </c:extLst>
            </c:dLbl>
            <c:dLbl>
              <c:idx val="13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7-8874-4C1C-A29F-E48B10EE9F23}"/>
                </c:ext>
              </c:extLst>
            </c:dLbl>
            <c:dLbl>
              <c:idx val="16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6-8874-4C1C-A29F-E48B10EE9F23}"/>
                </c:ext>
              </c:extLst>
            </c:dLbl>
            <c:dLbl>
              <c:idx val="19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5-8874-4C1C-A29F-E48B10EE9F23}"/>
                </c:ext>
              </c:extLst>
            </c:dLbl>
            <c:dLbl>
              <c:idx val="22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4-8874-4C1C-A29F-E48B10EE9F23}"/>
                </c:ext>
              </c:extLst>
            </c:dLbl>
            <c:dLbl>
              <c:idx val="25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8874-4C1C-A29F-E48B10EE9F23}"/>
                </c:ext>
              </c:extLst>
            </c:dLbl>
            <c:dLbl>
              <c:idx val="28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8874-4C1C-A29F-E48B10EE9F23}"/>
                </c:ext>
              </c:extLst>
            </c:dLbl>
            <c:dLbl>
              <c:idx val="31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8874-4C1C-A29F-E48B10EE9F23}"/>
                </c:ext>
              </c:extLst>
            </c:dLbl>
            <c:dLbl>
              <c:idx val="34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8874-4C1C-A29F-E48B10EE9F23}"/>
                </c:ext>
              </c:extLst>
            </c:dLbl>
            <c:dLbl>
              <c:idx val="37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8874-4C1C-A29F-E48B10EE9F23}"/>
                </c:ext>
              </c:extLst>
            </c:dLbl>
            <c:dLbl>
              <c:idx val="40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8874-4C1C-A29F-E48B10EE9F23}"/>
                </c:ext>
              </c:extLst>
            </c:dLbl>
            <c:dLbl>
              <c:idx val="43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8874-4C1C-A29F-E48B10EE9F23}"/>
                </c:ext>
              </c:extLst>
            </c:dLbl>
            <c:dLbl>
              <c:idx val="46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8874-4C1C-A29F-E48B10EE9F23}"/>
                </c:ext>
              </c:extLst>
            </c:dLbl>
            <c:dLbl>
              <c:idx val="49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8874-4C1C-A29F-E48B10EE9F23}"/>
                </c:ext>
              </c:extLst>
            </c:dLbl>
            <c:dLbl>
              <c:idx val="52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A-8874-4C1C-A29F-E48B10EE9F23}"/>
                </c:ext>
              </c:extLst>
            </c:dLbl>
            <c:dLbl>
              <c:idx val="55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8874-4C1C-A29F-E48B10EE9F23}"/>
                </c:ext>
              </c:extLst>
            </c:dLbl>
            <c:dLbl>
              <c:idx val="58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8-8874-4C1C-A29F-E48B10EE9F23}"/>
                </c:ext>
              </c:extLst>
            </c:dLbl>
            <c:dLbl>
              <c:idx val="61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8874-4C1C-A29F-E48B10EE9F23}"/>
                </c:ext>
              </c:extLst>
            </c:dLbl>
            <c:dLbl>
              <c:idx val="64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6-8874-4C1C-A29F-E48B10EE9F23}"/>
                </c:ext>
              </c:extLst>
            </c:dLbl>
            <c:dLbl>
              <c:idx val="67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8874-4C1C-A29F-E48B10EE9F23}"/>
                </c:ext>
              </c:extLst>
            </c:dLbl>
            <c:dLbl>
              <c:idx val="70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4-8874-4C1C-A29F-E48B10EE9F23}"/>
                </c:ext>
              </c:extLst>
            </c:dLbl>
            <c:dLbl>
              <c:idx val="73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8874-4C1C-A29F-E48B10EE9F23}"/>
                </c:ext>
              </c:extLst>
            </c:dLbl>
            <c:dLbl>
              <c:idx val="76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2-8874-4C1C-A29F-E48B10EE9F23}"/>
                </c:ext>
              </c:extLst>
            </c:dLbl>
            <c:dLbl>
              <c:idx val="79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8874-4C1C-A29F-E48B10EE9F23}"/>
                </c:ext>
              </c:extLst>
            </c:dLbl>
            <c:dLbl>
              <c:idx val="82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8874-4C1C-A29F-E48B10EE9F23}"/>
                </c:ext>
              </c:extLst>
            </c:dLbl>
            <c:dLbl>
              <c:idx val="83"/>
              <c:numFmt formatCode="#,##0_);[Red]\(#,##0\)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874-4C1C-A29F-E48B10EE9F23}"/>
                </c:ext>
              </c:extLst>
            </c:dLbl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積上データ1!$A$3:$A$92</c:f>
              <c:numCache>
                <c:formatCode>General</c:formatCode>
                <c:ptCount val="90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  <c:pt idx="30">
                  <c:v>0</c:v>
                </c:pt>
                <c:pt idx="33">
                  <c:v>0</c:v>
                </c:pt>
                <c:pt idx="36">
                  <c:v>0</c:v>
                </c:pt>
                <c:pt idx="39">
                  <c:v>0</c:v>
                </c:pt>
                <c:pt idx="42">
                  <c:v>0</c:v>
                </c:pt>
                <c:pt idx="45">
                  <c:v>0</c:v>
                </c:pt>
                <c:pt idx="48">
                  <c:v>0</c:v>
                </c:pt>
                <c:pt idx="51">
                  <c:v>0</c:v>
                </c:pt>
                <c:pt idx="54">
                  <c:v>0</c:v>
                </c:pt>
                <c:pt idx="57">
                  <c:v>0</c:v>
                </c:pt>
                <c:pt idx="60">
                  <c:v>0</c:v>
                </c:pt>
                <c:pt idx="63">
                  <c:v>0</c:v>
                </c:pt>
                <c:pt idx="66">
                  <c:v>0</c:v>
                </c:pt>
                <c:pt idx="69">
                  <c:v>0</c:v>
                </c:pt>
                <c:pt idx="72">
                  <c:v>0</c:v>
                </c:pt>
                <c:pt idx="75">
                  <c:v>0</c:v>
                </c:pt>
                <c:pt idx="78">
                  <c:v>0</c:v>
                </c:pt>
                <c:pt idx="81">
                  <c:v>0</c:v>
                </c:pt>
                <c:pt idx="84" formatCode="0;\-0;;@">
                  <c:v>0</c:v>
                </c:pt>
                <c:pt idx="87" formatCode="0;\-0;;@">
                  <c:v>0</c:v>
                </c:pt>
              </c:numCache>
            </c:numRef>
          </c:cat>
          <c:val>
            <c:numRef>
              <c:f>積上データ1!$C$3:$C$92</c:f>
              <c:numCache>
                <c:formatCode>#,##0_ ;[Red]\-#,##0\ </c:formatCode>
                <c:ptCount val="9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4-4C1C-A29F-E48B10EE9F23}"/>
            </c:ext>
          </c:extLst>
        </c:ser>
        <c:ser>
          <c:idx val="1"/>
          <c:order val="1"/>
          <c:tx>
            <c:strRef>
              <c:f>積上データ1!$D$2</c:f>
              <c:strCache>
                <c:ptCount val="1"/>
                <c:pt idx="0">
                  <c:v>仮売上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prstDash val="dash"/>
              <a:round/>
            </a:ln>
            <a:effectLst/>
          </c:spPr>
          <c:invertIfNegative val="0"/>
          <c:dLbls>
            <c:dLbl>
              <c:idx val="1"/>
              <c:layout>
                <c:manualLayout>
                  <c:x val="2.4088034858014591E-2"/>
                  <c:y val="-1.8755205981371687E-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8874-4C1C-A29F-E48B10EE9F23}"/>
                </c:ext>
              </c:extLst>
            </c:dLbl>
            <c:dLbl>
              <c:idx val="4"/>
              <c:layout>
                <c:manualLayout>
                  <c:x val="2.580860877644434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874-4C1C-A29F-E48B10EE9F23}"/>
                </c:ext>
              </c:extLst>
            </c:dLbl>
            <c:dLbl>
              <c:idx val="7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8874-4C1C-A29F-E48B10EE9F23}"/>
                </c:ext>
              </c:extLst>
            </c:dLbl>
            <c:dLbl>
              <c:idx val="10"/>
              <c:layout>
                <c:manualLayout>
                  <c:x val="2.580860877644434E-2"/>
                  <c:y val="-9.377602990685843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874-4C1C-A29F-E48B10EE9F23}"/>
                </c:ext>
              </c:extLst>
            </c:dLbl>
            <c:dLbl>
              <c:idx val="13"/>
              <c:layout>
                <c:manualLayout>
                  <c:x val="2.2367460939585096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8874-4C1C-A29F-E48B10EE9F23}"/>
                </c:ext>
              </c:extLst>
            </c:dLbl>
            <c:dLbl>
              <c:idx val="16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8874-4C1C-A29F-E48B10EE9F23}"/>
                </c:ext>
              </c:extLst>
            </c:dLbl>
            <c:dLbl>
              <c:idx val="19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8874-4C1C-A29F-E48B10EE9F23}"/>
                </c:ext>
              </c:extLst>
            </c:dLbl>
            <c:dLbl>
              <c:idx val="22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874-4C1C-A29F-E48B10EE9F23}"/>
                </c:ext>
              </c:extLst>
            </c:dLbl>
            <c:dLbl>
              <c:idx val="25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8874-4C1C-A29F-E48B10EE9F23}"/>
                </c:ext>
              </c:extLst>
            </c:dLbl>
            <c:dLbl>
              <c:idx val="28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8874-4C1C-A29F-E48B10EE9F23}"/>
                </c:ext>
              </c:extLst>
            </c:dLbl>
            <c:dLbl>
              <c:idx val="31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8874-4C1C-A29F-E48B10EE9F23}"/>
                </c:ext>
              </c:extLst>
            </c:dLbl>
            <c:dLbl>
              <c:idx val="34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8874-4C1C-A29F-E48B10EE9F23}"/>
                </c:ext>
              </c:extLst>
            </c:dLbl>
            <c:dLbl>
              <c:idx val="37"/>
              <c:layout>
                <c:manualLayout>
                  <c:x val="2.236746093958496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874-4C1C-A29F-E48B10EE9F23}"/>
                </c:ext>
              </c:extLst>
            </c:dLbl>
            <c:dLbl>
              <c:idx val="40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8874-4C1C-A29F-E48B10EE9F23}"/>
                </c:ext>
              </c:extLst>
            </c:dLbl>
            <c:dLbl>
              <c:idx val="43"/>
              <c:layout>
                <c:manualLayout>
                  <c:x val="2.580860877644421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8874-4C1C-A29F-E48B10EE9F23}"/>
                </c:ext>
              </c:extLst>
            </c:dLbl>
            <c:dLbl>
              <c:idx val="46"/>
              <c:layout>
                <c:manualLayout>
                  <c:x val="2.2426845388784016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874-4C1C-A29F-E48B10EE9F23}"/>
                </c:ext>
              </c:extLst>
            </c:dLbl>
            <c:dLbl>
              <c:idx val="49"/>
              <c:layout>
                <c:manualLayout>
                  <c:x val="2.580860877644434E-2"/>
                  <c:y val="-9.377602990685843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8874-4C1C-A29F-E48B10EE9F23}"/>
                </c:ext>
              </c:extLst>
            </c:dLbl>
            <c:dLbl>
              <c:idx val="52"/>
              <c:layout>
                <c:manualLayout>
                  <c:x val="2.2367460939585096E-2"/>
                  <c:y val="4.688801495342921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8874-4C1C-A29F-E48B10EE9F23}"/>
                </c:ext>
              </c:extLst>
            </c:dLbl>
            <c:dLbl>
              <c:idx val="55"/>
              <c:layout>
                <c:manualLayout>
                  <c:x val="2.408803485801472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874-4C1C-A29F-E48B10EE9F23}"/>
                </c:ext>
              </c:extLst>
            </c:dLbl>
            <c:dLbl>
              <c:idx val="58"/>
              <c:layout>
                <c:manualLayout>
                  <c:x val="2.408803485801459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8874-4C1C-A29F-E48B10EE9F23}"/>
                </c:ext>
              </c:extLst>
            </c:dLbl>
            <c:dLbl>
              <c:idx val="61"/>
              <c:layout>
                <c:manualLayout>
                  <c:x val="2.580860877644434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874-4C1C-A29F-E48B10EE9F23}"/>
                </c:ext>
              </c:extLst>
            </c:dLbl>
            <c:dLbl>
              <c:idx val="64"/>
              <c:layout>
                <c:manualLayout>
                  <c:x val="2.408803485801478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8874-4C1C-A29F-E48B10EE9F23}"/>
                </c:ext>
              </c:extLst>
            </c:dLbl>
            <c:dLbl>
              <c:idx val="67"/>
              <c:layout>
                <c:manualLayout>
                  <c:x val="2.580860877644434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874-4C1C-A29F-E48B10EE9F23}"/>
                </c:ext>
              </c:extLst>
            </c:dLbl>
            <c:dLbl>
              <c:idx val="70"/>
              <c:layout>
                <c:manualLayout>
                  <c:x val="2.5808608776444215E-2"/>
                  <c:y val="-4.688801495342921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8874-4C1C-A29F-E48B10EE9F23}"/>
                </c:ext>
              </c:extLst>
            </c:dLbl>
            <c:dLbl>
              <c:idx val="73"/>
              <c:layout>
                <c:manualLayout>
                  <c:x val="2.580860877644434E-2"/>
                  <c:y val="-2.344400747671460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8874-4C1C-A29F-E48B10EE9F23}"/>
                </c:ext>
              </c:extLst>
            </c:dLbl>
            <c:dLbl>
              <c:idx val="76"/>
              <c:layout>
                <c:manualLayout>
                  <c:x val="2.408803485801472E-2"/>
                  <c:y val="-2.344400747671460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8874-4C1C-A29F-E48B10EE9F23}"/>
                </c:ext>
              </c:extLst>
            </c:dLbl>
            <c:dLbl>
              <c:idx val="79"/>
              <c:layout>
                <c:manualLayout>
                  <c:x val="2.408803485801459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874-4C1C-A29F-E48B10EE9F23}"/>
                </c:ext>
              </c:extLst>
            </c:dLbl>
            <c:dLbl>
              <c:idx val="82"/>
              <c:layout>
                <c:manualLayout>
                  <c:x val="2.40880348580147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8874-4C1C-A29F-E48B10EE9F23}"/>
                </c:ext>
              </c:extLst>
            </c:dLbl>
            <c:dLbl>
              <c:idx val="83"/>
              <c:spPr>
                <a:solidFill>
                  <a:schemeClr val="accent4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874-4C1C-A29F-E48B10EE9F23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積上データ1!$A$3:$A$92</c:f>
              <c:numCache>
                <c:formatCode>General</c:formatCode>
                <c:ptCount val="90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  <c:pt idx="30">
                  <c:v>0</c:v>
                </c:pt>
                <c:pt idx="33">
                  <c:v>0</c:v>
                </c:pt>
                <c:pt idx="36">
                  <c:v>0</c:v>
                </c:pt>
                <c:pt idx="39">
                  <c:v>0</c:v>
                </c:pt>
                <c:pt idx="42">
                  <c:v>0</c:v>
                </c:pt>
                <c:pt idx="45">
                  <c:v>0</c:v>
                </c:pt>
                <c:pt idx="48">
                  <c:v>0</c:v>
                </c:pt>
                <c:pt idx="51">
                  <c:v>0</c:v>
                </c:pt>
                <c:pt idx="54">
                  <c:v>0</c:v>
                </c:pt>
                <c:pt idx="57">
                  <c:v>0</c:v>
                </c:pt>
                <c:pt idx="60">
                  <c:v>0</c:v>
                </c:pt>
                <c:pt idx="63">
                  <c:v>0</c:v>
                </c:pt>
                <c:pt idx="66">
                  <c:v>0</c:v>
                </c:pt>
                <c:pt idx="69">
                  <c:v>0</c:v>
                </c:pt>
                <c:pt idx="72">
                  <c:v>0</c:v>
                </c:pt>
                <c:pt idx="75">
                  <c:v>0</c:v>
                </c:pt>
                <c:pt idx="78">
                  <c:v>0</c:v>
                </c:pt>
                <c:pt idx="81">
                  <c:v>0</c:v>
                </c:pt>
                <c:pt idx="84" formatCode="0;\-0;;@">
                  <c:v>0</c:v>
                </c:pt>
                <c:pt idx="87" formatCode="0;\-0;;@">
                  <c:v>0</c:v>
                </c:pt>
              </c:numCache>
            </c:numRef>
          </c:cat>
          <c:val>
            <c:numRef>
              <c:f>積上データ1!$D$3:$D$92</c:f>
              <c:numCache>
                <c:formatCode>0;\-0;;@</c:formatCode>
                <c:ptCount val="90"/>
                <c:pt idx="1">
                  <c:v>#N/A</c:v>
                </c:pt>
                <c:pt idx="4">
                  <c:v>#N/A</c:v>
                </c:pt>
                <c:pt idx="7">
                  <c:v>#N/A</c:v>
                </c:pt>
                <c:pt idx="10">
                  <c:v>#N/A</c:v>
                </c:pt>
                <c:pt idx="13">
                  <c:v>#N/A</c:v>
                </c:pt>
                <c:pt idx="16">
                  <c:v>#N/A</c:v>
                </c:pt>
                <c:pt idx="19">
                  <c:v>#N/A</c:v>
                </c:pt>
                <c:pt idx="22">
                  <c:v>#N/A</c:v>
                </c:pt>
                <c:pt idx="25">
                  <c:v>#N/A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#N/A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  <c:pt idx="55">
                  <c:v>#N/A</c:v>
                </c:pt>
                <c:pt idx="58">
                  <c:v>#N/A</c:v>
                </c:pt>
                <c:pt idx="61">
                  <c:v>#N/A</c:v>
                </c:pt>
                <c:pt idx="64">
                  <c:v>#N/A</c:v>
                </c:pt>
                <c:pt idx="67">
                  <c:v>#N/A</c:v>
                </c:pt>
                <c:pt idx="70">
                  <c:v>#N/A</c:v>
                </c:pt>
                <c:pt idx="73">
                  <c:v>#N/A</c:v>
                </c:pt>
                <c:pt idx="76">
                  <c:v>#N/A</c:v>
                </c:pt>
                <c:pt idx="79">
                  <c:v>#N/A</c:v>
                </c:pt>
                <c:pt idx="82">
                  <c:v>#N/A</c:v>
                </c:pt>
                <c:pt idx="85">
                  <c:v>#N/A</c:v>
                </c:pt>
                <c:pt idx="8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74-4C1C-A29F-E48B10EE9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_ ;[Red]\-#,##0\ 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ser>
          <c:idx val="3"/>
          <c:order val="1"/>
          <c:tx>
            <c:strRef>
              <c:f>合計データ!$R$10</c:f>
              <c:strCache>
                <c:ptCount val="1"/>
                <c:pt idx="0">
                  <c:v> 仮売上（万円) 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110000"/>
                    <a:tint val="67000"/>
                  </a:schemeClr>
                </a:gs>
                <a:gs pos="50000">
                  <a:schemeClr val="accent4">
                    <a:lumMod val="105000"/>
                    <a:tint val="73000"/>
                  </a:schemeClr>
                </a:gs>
                <a:gs pos="100000">
                  <a:schemeClr val="accent4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2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3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</xdr:colOff>
      <xdr:row>212</xdr:row>
      <xdr:rowOff>0</xdr:rowOff>
    </xdr:from>
    <xdr:to>
      <xdr:col>8</xdr:col>
      <xdr:colOff>721525</xdr:colOff>
      <xdr:row>257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38100</xdr:rowOff>
    </xdr:from>
    <xdr:to>
      <xdr:col>8</xdr:col>
      <xdr:colOff>721525</xdr:colOff>
      <xdr:row>309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368</xdr:row>
      <xdr:rowOff>9524</xdr:rowOff>
    </xdr:from>
    <xdr:to>
      <xdr:col>8</xdr:col>
      <xdr:colOff>721525</xdr:colOff>
      <xdr:row>413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28575</xdr:rowOff>
    </xdr:from>
    <xdr:to>
      <xdr:col>8</xdr:col>
      <xdr:colOff>721525</xdr:colOff>
      <xdr:row>361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55245</xdr:colOff>
      <xdr:row>420</xdr:row>
      <xdr:rowOff>7938</xdr:rowOff>
    </xdr:from>
    <xdr:to>
      <xdr:col>8</xdr:col>
      <xdr:colOff>721525</xdr:colOff>
      <xdr:row>466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55245</xdr:colOff>
      <xdr:row>108</xdr:row>
      <xdr:rowOff>53340</xdr:rowOff>
    </xdr:from>
    <xdr:to>
      <xdr:col>8</xdr:col>
      <xdr:colOff>721525</xdr:colOff>
      <xdr:row>153</xdr:row>
      <xdr:rowOff>93344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9B8AD043-CE1B-4CFC-A914-B87B71B3D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59055</xdr:colOff>
      <xdr:row>160</xdr:row>
      <xdr:rowOff>57150</xdr:rowOff>
    </xdr:from>
    <xdr:to>
      <xdr:col>8</xdr:col>
      <xdr:colOff>721525</xdr:colOff>
      <xdr:row>205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371475</xdr:colOff>
      <xdr:row>107</xdr:row>
      <xdr:rowOff>19050</xdr:rowOff>
    </xdr:from>
    <xdr:to>
      <xdr:col>2</xdr:col>
      <xdr:colOff>438150</xdr:colOff>
      <xdr:row>109</xdr:row>
      <xdr:rowOff>161925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9BE72160-3A0A-4A02-C504-CF343CC355D7}"/>
            </a:ext>
          </a:extLst>
        </xdr:cNvPr>
        <xdr:cNvSpPr txBox="1"/>
      </xdr:nvSpPr>
      <xdr:spPr>
        <a:xfrm>
          <a:off x="371475" y="23736300"/>
          <a:ext cx="1685925" cy="695325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2000"/>
            <a:t>積み上げ棒</a:t>
          </a:r>
        </a:p>
      </xdr:txBody>
    </xdr:sp>
    <xdr:clientData/>
  </xdr:twoCellAnchor>
  <xdr:twoCellAnchor>
    <xdr:from>
      <xdr:col>0</xdr:col>
      <xdr:colOff>152400</xdr:colOff>
      <xdr:row>159</xdr:row>
      <xdr:rowOff>66675</xdr:rowOff>
    </xdr:from>
    <xdr:to>
      <xdr:col>2</xdr:col>
      <xdr:colOff>215265</xdr:colOff>
      <xdr:row>161</xdr:row>
      <xdr:rowOff>215265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BF8E049-C3A2-4C46-ABE5-58C6A6DBCBE2}"/>
            </a:ext>
          </a:extLst>
        </xdr:cNvPr>
        <xdr:cNvSpPr txBox="1"/>
      </xdr:nvSpPr>
      <xdr:spPr>
        <a:xfrm>
          <a:off x="152400" y="35290125"/>
          <a:ext cx="1682115" cy="701040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2400"/>
            <a:t>１本追加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471"/>
  <sheetViews>
    <sheetView showGridLines="0" tabSelected="1" view="pageLayout" zoomScale="110" zoomScaleNormal="100" zoomScalePageLayoutView="11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98" t="str">
        <f ca="1">_xlfn.CONCAT("デイリーレポート - ",TEXT(TODAY(),"yy年mm月dd日"))</f>
        <v>デイリーレポート - 26年01月23日</v>
      </c>
      <c r="B1" s="98"/>
      <c r="C1" s="98"/>
      <c r="D1" s="98"/>
      <c r="E1" s="98"/>
      <c r="F1" s="98"/>
      <c r="G1" s="98"/>
      <c r="H1" s="98"/>
      <c r="I1" s="98"/>
    </row>
    <row r="17" ht="16.5" customHeight="1" x14ac:dyDescent="0.45"/>
    <row r="18" ht="16.5" customHeight="1" x14ac:dyDescent="0.45"/>
    <row r="46" spans="2:8" x14ac:dyDescent="0.45">
      <c r="B46" s="15"/>
      <c r="C46" s="16" t="s">
        <v>19</v>
      </c>
      <c r="D46" s="16" t="s">
        <v>20</v>
      </c>
      <c r="E46" s="16" t="s">
        <v>21</v>
      </c>
      <c r="F46" s="16" t="s">
        <v>22</v>
      </c>
      <c r="G46" s="16" t="s">
        <v>23</v>
      </c>
      <c r="H46" s="16" t="s">
        <v>24</v>
      </c>
    </row>
    <row r="47" spans="2:8" ht="18" x14ac:dyDescent="0.45">
      <c r="B47" s="20" t="s">
        <v>10</v>
      </c>
      <c r="C47" s="21">
        <f>合計データ!W2</f>
        <v>0</v>
      </c>
      <c r="D47" s="21">
        <f>合計データ!X2</f>
        <v>0</v>
      </c>
      <c r="E47" s="21">
        <f>合計データ!Y2</f>
        <v>0</v>
      </c>
      <c r="F47" s="21">
        <f>合計データ!Z2</f>
        <v>0</v>
      </c>
      <c r="G47" s="21">
        <f>合計データ!AA2</f>
        <v>0</v>
      </c>
      <c r="H47" s="21">
        <f>合計データ!AB2</f>
        <v>0</v>
      </c>
    </row>
    <row r="48" spans="2:8" x14ac:dyDescent="0.45">
      <c r="B48" s="26" t="s">
        <v>25</v>
      </c>
      <c r="C48" s="27">
        <f>合計データ!W3</f>
        <v>0</v>
      </c>
      <c r="D48" s="27">
        <f>合計データ!X3</f>
        <v>0</v>
      </c>
      <c r="E48" s="27">
        <f>合計データ!Y3</f>
        <v>0</v>
      </c>
      <c r="F48" s="27">
        <f>合計データ!Z3</f>
        <v>0</v>
      </c>
      <c r="G48" s="27">
        <f>合計データ!AA3</f>
        <v>0</v>
      </c>
      <c r="H48" s="27">
        <f>合計データ!AB3</f>
        <v>0</v>
      </c>
    </row>
    <row r="49" spans="1:9" ht="18" x14ac:dyDescent="0.45">
      <c r="B49" s="20" t="s">
        <v>11</v>
      </c>
      <c r="C49" s="21">
        <f>合計データ!W4</f>
        <v>0</v>
      </c>
      <c r="D49" s="21">
        <f>合計データ!X4</f>
        <v>0</v>
      </c>
      <c r="E49" s="21">
        <f>合計データ!Y4</f>
        <v>0</v>
      </c>
      <c r="F49" s="21">
        <f>合計データ!Z4</f>
        <v>0</v>
      </c>
      <c r="G49" s="21">
        <f>合計データ!AA4</f>
        <v>0</v>
      </c>
      <c r="H49" s="21">
        <f>合計データ!AB4</f>
        <v>0</v>
      </c>
    </row>
    <row r="50" spans="1:9" x14ac:dyDescent="0.45">
      <c r="B50" s="26" t="s">
        <v>25</v>
      </c>
      <c r="C50" s="27">
        <f>合計データ!W5</f>
        <v>0</v>
      </c>
      <c r="D50" s="27">
        <f>合計データ!X5</f>
        <v>0</v>
      </c>
      <c r="E50" s="27">
        <f>合計データ!Y5</f>
        <v>0</v>
      </c>
      <c r="F50" s="27">
        <f>合計データ!Z5</f>
        <v>0</v>
      </c>
      <c r="G50" s="27">
        <f>合計データ!AA5</f>
        <v>0</v>
      </c>
      <c r="H50" s="27">
        <f>合計データ!AB5</f>
        <v>0</v>
      </c>
    </row>
    <row r="51" spans="1:9" x14ac:dyDescent="0.45">
      <c r="B51" s="19"/>
      <c r="C51" s="22"/>
      <c r="D51" s="22"/>
      <c r="E51" s="22"/>
      <c r="F51" s="22"/>
      <c r="G51" s="22"/>
      <c r="H51" s="22"/>
    </row>
    <row r="52" spans="1:9" x14ac:dyDescent="0.45">
      <c r="A52" s="97"/>
      <c r="B52" s="97"/>
      <c r="C52" s="97"/>
      <c r="D52" s="97"/>
      <c r="E52" s="97"/>
      <c r="F52" s="97"/>
      <c r="G52" s="97"/>
      <c r="H52" s="97"/>
      <c r="I52" s="97"/>
    </row>
    <row r="53" spans="1:9" x14ac:dyDescent="0.45">
      <c r="A53" s="97"/>
      <c r="B53" s="97"/>
      <c r="C53" s="97"/>
      <c r="D53" s="97"/>
      <c r="E53" s="97"/>
      <c r="F53" s="97"/>
      <c r="G53" s="97"/>
      <c r="H53" s="97"/>
      <c r="I53" s="97"/>
    </row>
    <row r="54" spans="1:9" x14ac:dyDescent="0.45">
      <c r="A54" s="97"/>
      <c r="B54" s="97"/>
      <c r="C54" s="97"/>
      <c r="D54" s="97"/>
      <c r="E54" s="97"/>
      <c r="F54" s="97"/>
      <c r="G54" s="97"/>
      <c r="H54" s="97"/>
      <c r="I54" s="97"/>
    </row>
    <row r="56" spans="1:9" ht="26.4" x14ac:dyDescent="0.65">
      <c r="C56" s="100" t="str">
        <f>合計データ!A9</f>
        <v>売上　計画ｘ見込み（1900年1月）</v>
      </c>
      <c r="D56" s="100"/>
      <c r="E56" s="100"/>
      <c r="F56" s="100"/>
      <c r="G56" s="100"/>
    </row>
    <row r="104" spans="1:9" x14ac:dyDescent="0.45">
      <c r="A104" s="97">
        <f>$A$52</f>
        <v>0</v>
      </c>
      <c r="B104" s="97"/>
      <c r="C104" s="97"/>
      <c r="D104" s="97"/>
      <c r="E104" s="97"/>
      <c r="F104" s="97"/>
      <c r="G104" s="97"/>
      <c r="H104" s="97"/>
      <c r="I104" s="97"/>
    </row>
    <row r="105" spans="1:9" x14ac:dyDescent="0.45">
      <c r="A105" s="97"/>
      <c r="B105" s="97"/>
      <c r="C105" s="97"/>
      <c r="D105" s="97"/>
      <c r="E105" s="97"/>
      <c r="F105" s="97"/>
      <c r="G105" s="97"/>
      <c r="H105" s="97"/>
      <c r="I105" s="97"/>
    </row>
    <row r="106" spans="1:9" x14ac:dyDescent="0.45">
      <c r="A106" s="97"/>
      <c r="B106" s="97"/>
      <c r="C106" s="97"/>
      <c r="D106" s="97"/>
      <c r="E106" s="97"/>
      <c r="F106" s="97"/>
      <c r="G106" s="97"/>
      <c r="H106" s="97"/>
      <c r="I106" s="97"/>
    </row>
    <row r="108" spans="1:9" ht="26.4" x14ac:dyDescent="0.65">
      <c r="C108" s="100" t="str">
        <f>合計データ!A9</f>
        <v>売上　計画ｘ見込み（1900年1月）</v>
      </c>
      <c r="D108" s="100"/>
      <c r="E108" s="100"/>
      <c r="F108" s="100"/>
      <c r="G108" s="100"/>
    </row>
    <row r="156" spans="1:9" x14ac:dyDescent="0.45">
      <c r="A156" s="97">
        <f>$A$52</f>
        <v>0</v>
      </c>
      <c r="B156" s="97"/>
      <c r="C156" s="97"/>
      <c r="D156" s="97"/>
      <c r="E156" s="97"/>
      <c r="F156" s="97"/>
      <c r="G156" s="97"/>
      <c r="H156" s="97"/>
      <c r="I156" s="97"/>
    </row>
    <row r="157" spans="1:9" x14ac:dyDescent="0.45">
      <c r="A157" s="97"/>
      <c r="B157" s="97"/>
      <c r="C157" s="97"/>
      <c r="D157" s="97"/>
      <c r="E157" s="97"/>
      <c r="F157" s="97"/>
      <c r="G157" s="97"/>
      <c r="H157" s="97"/>
      <c r="I157" s="97"/>
    </row>
    <row r="158" spans="1:9" x14ac:dyDescent="0.45">
      <c r="A158" s="97"/>
      <c r="B158" s="97"/>
      <c r="C158" s="97"/>
      <c r="D158" s="97"/>
      <c r="E158" s="97"/>
      <c r="F158" s="97"/>
      <c r="G158" s="97"/>
      <c r="H158" s="97"/>
      <c r="I158" s="97"/>
    </row>
    <row r="160" spans="1:9" ht="26.4" x14ac:dyDescent="0.65">
      <c r="C160" s="100" t="str">
        <f>合計データ!A9</f>
        <v>売上　計画ｘ見込み（1900年1月）</v>
      </c>
      <c r="D160" s="100"/>
      <c r="E160" s="100"/>
      <c r="F160" s="100"/>
      <c r="G160" s="100"/>
    </row>
    <row r="208" spans="1:9" x14ac:dyDescent="0.45">
      <c r="A208" s="97">
        <f>$A$52</f>
        <v>0</v>
      </c>
      <c r="B208" s="97"/>
      <c r="C208" s="97"/>
      <c r="D208" s="97"/>
      <c r="E208" s="97"/>
      <c r="F208" s="97"/>
      <c r="G208" s="97"/>
      <c r="H208" s="97"/>
      <c r="I208" s="97"/>
    </row>
    <row r="209" spans="1:9" x14ac:dyDescent="0.45">
      <c r="A209" s="97"/>
      <c r="B209" s="97"/>
      <c r="C209" s="97"/>
      <c r="D209" s="97"/>
      <c r="E209" s="97"/>
      <c r="F209" s="97"/>
      <c r="G209" s="97"/>
      <c r="H209" s="97"/>
      <c r="I209" s="97"/>
    </row>
    <row r="210" spans="1:9" x14ac:dyDescent="0.45">
      <c r="A210" s="97"/>
      <c r="B210" s="97"/>
      <c r="C210" s="97"/>
      <c r="D210" s="97"/>
      <c r="E210" s="97"/>
      <c r="F210" s="97"/>
      <c r="G210" s="97"/>
      <c r="H210" s="97"/>
      <c r="I210" s="97"/>
    </row>
    <row r="212" spans="1:9" ht="26.4" x14ac:dyDescent="0.65">
      <c r="C212" s="100" t="str">
        <f>合計データ!H9</f>
        <v>稼働率　計画ｘ見込み（1900年1月）</v>
      </c>
      <c r="D212" s="101"/>
      <c r="E212" s="101"/>
      <c r="F212" s="101"/>
      <c r="G212" s="101"/>
    </row>
    <row r="260" spans="1:9" x14ac:dyDescent="0.45">
      <c r="A260" s="97">
        <f>$A$52</f>
        <v>0</v>
      </c>
      <c r="B260" s="97"/>
      <c r="C260" s="97"/>
      <c r="D260" s="97"/>
      <c r="E260" s="97"/>
      <c r="F260" s="97"/>
      <c r="G260" s="97"/>
      <c r="H260" s="97"/>
      <c r="I260" s="97"/>
    </row>
    <row r="261" spans="1:9" x14ac:dyDescent="0.45">
      <c r="A261" s="97"/>
      <c r="B261" s="97"/>
      <c r="C261" s="97"/>
      <c r="D261" s="97"/>
      <c r="E261" s="97"/>
      <c r="F261" s="97"/>
      <c r="G261" s="97"/>
      <c r="H261" s="97"/>
      <c r="I261" s="97"/>
    </row>
    <row r="262" spans="1:9" x14ac:dyDescent="0.45">
      <c r="A262" s="97"/>
      <c r="B262" s="97"/>
      <c r="C262" s="97"/>
      <c r="D262" s="97"/>
      <c r="E262" s="97"/>
      <c r="F262" s="97"/>
      <c r="G262" s="97"/>
      <c r="H262" s="97"/>
      <c r="I262" s="97"/>
    </row>
    <row r="264" spans="1:9" ht="26.4" x14ac:dyDescent="0.65">
      <c r="C264" s="100" t="str">
        <f>合計データ2!A1</f>
        <v>売上　計画ｘ見込み（1900年1月）</v>
      </c>
      <c r="D264" s="100"/>
      <c r="E264" s="100"/>
      <c r="F264" s="100"/>
      <c r="G264" s="100"/>
    </row>
    <row r="265" spans="1:9" x14ac:dyDescent="0.45">
      <c r="C265" s="29"/>
      <c r="D265" s="29"/>
      <c r="E265" s="29"/>
      <c r="F265" s="29"/>
      <c r="G265" s="29"/>
    </row>
    <row r="312" spans="1:9" x14ac:dyDescent="0.45">
      <c r="A312" s="97">
        <f>$A$52</f>
        <v>0</v>
      </c>
      <c r="B312" s="97"/>
      <c r="C312" s="97"/>
      <c r="D312" s="97"/>
      <c r="E312" s="97"/>
      <c r="F312" s="97"/>
      <c r="G312" s="97"/>
      <c r="H312" s="97"/>
      <c r="I312" s="97"/>
    </row>
    <row r="313" spans="1:9" x14ac:dyDescent="0.45">
      <c r="A313" s="97"/>
      <c r="B313" s="97"/>
      <c r="C313" s="97"/>
      <c r="D313" s="97"/>
      <c r="E313" s="97"/>
      <c r="F313" s="97"/>
      <c r="G313" s="97"/>
      <c r="H313" s="97"/>
      <c r="I313" s="97"/>
    </row>
    <row r="314" spans="1:9" x14ac:dyDescent="0.45">
      <c r="A314" s="97"/>
      <c r="B314" s="97"/>
      <c r="C314" s="97"/>
      <c r="D314" s="97"/>
      <c r="E314" s="97"/>
      <c r="F314" s="97"/>
      <c r="G314" s="97"/>
      <c r="H314" s="97"/>
      <c r="I314" s="97"/>
    </row>
    <row r="316" spans="1:9" ht="26.4" x14ac:dyDescent="0.65">
      <c r="C316" s="99" t="str">
        <f>合計データ2!H1</f>
        <v>稼働率　計画ｘ見込み（1900年1月）</v>
      </c>
      <c r="D316" s="100"/>
      <c r="E316" s="100"/>
      <c r="F316" s="100"/>
      <c r="G316" s="100"/>
    </row>
    <row r="364" spans="1:9" x14ac:dyDescent="0.45">
      <c r="A364" s="97">
        <f>$A$52</f>
        <v>0</v>
      </c>
      <c r="B364" s="97"/>
      <c r="C364" s="97"/>
      <c r="D364" s="97"/>
      <c r="E364" s="97"/>
      <c r="F364" s="97"/>
      <c r="G364" s="97"/>
      <c r="H364" s="97"/>
      <c r="I364" s="97"/>
    </row>
    <row r="365" spans="1:9" x14ac:dyDescent="0.45">
      <c r="A365" s="97"/>
      <c r="B365" s="97"/>
      <c r="C365" s="97"/>
      <c r="D365" s="97"/>
      <c r="E365" s="97"/>
      <c r="F365" s="97"/>
      <c r="G365" s="97"/>
      <c r="H365" s="97"/>
      <c r="I365" s="97"/>
    </row>
    <row r="366" spans="1:9" x14ac:dyDescent="0.45">
      <c r="A366" s="97"/>
      <c r="B366" s="97"/>
      <c r="C366" s="97"/>
      <c r="D366" s="97"/>
      <c r="E366" s="97"/>
      <c r="F366" s="97"/>
      <c r="G366" s="97"/>
      <c r="H366" s="97"/>
      <c r="I366" s="97"/>
    </row>
    <row r="368" spans="1:9" ht="26.4" x14ac:dyDescent="0.65">
      <c r="C368" s="100" t="str">
        <f>合計データ3!A1</f>
        <v>売上　計画ｘ見込み（1900年1月）</v>
      </c>
      <c r="D368" s="101"/>
      <c r="E368" s="101"/>
      <c r="F368" s="101"/>
      <c r="G368" s="101"/>
    </row>
    <row r="416" spans="1:9" x14ac:dyDescent="0.45">
      <c r="A416" s="97">
        <f>$A$52</f>
        <v>0</v>
      </c>
      <c r="B416" s="97"/>
      <c r="C416" s="97"/>
      <c r="D416" s="97"/>
      <c r="E416" s="97"/>
      <c r="F416" s="97"/>
      <c r="G416" s="97"/>
      <c r="H416" s="97"/>
      <c r="I416" s="97"/>
    </row>
    <row r="417" spans="1:9" x14ac:dyDescent="0.45">
      <c r="A417" s="97"/>
      <c r="B417" s="97"/>
      <c r="C417" s="97"/>
      <c r="D417" s="97"/>
      <c r="E417" s="97"/>
      <c r="F417" s="97"/>
      <c r="G417" s="97"/>
      <c r="H417" s="97"/>
      <c r="I417" s="97"/>
    </row>
    <row r="418" spans="1:9" x14ac:dyDescent="0.45">
      <c r="A418" s="97"/>
      <c r="B418" s="97"/>
      <c r="C418" s="97"/>
      <c r="D418" s="97"/>
      <c r="E418" s="97"/>
      <c r="F418" s="97"/>
      <c r="G418" s="97"/>
      <c r="H418" s="97"/>
      <c r="I418" s="97"/>
    </row>
    <row r="420" spans="1:9" ht="25.2" customHeight="1" x14ac:dyDescent="0.65">
      <c r="C420" s="99" t="str">
        <f>合計データ3!H1</f>
        <v>稼働率　計画ｘ見込み（1900年1月）</v>
      </c>
      <c r="D420" s="101"/>
      <c r="E420" s="101"/>
      <c r="F420" s="101"/>
      <c r="G420" s="101"/>
    </row>
    <row r="421" spans="1:9" ht="14.4" customHeight="1" x14ac:dyDescent="0.45"/>
    <row r="469" spans="1:9" x14ac:dyDescent="0.45">
      <c r="A469" s="97">
        <f>$A$52</f>
        <v>0</v>
      </c>
      <c r="B469" s="97"/>
      <c r="C469" s="97"/>
      <c r="D469" s="97"/>
      <c r="E469" s="97"/>
      <c r="F469" s="97"/>
      <c r="G469" s="97"/>
      <c r="H469" s="97"/>
      <c r="I469" s="97"/>
    </row>
    <row r="470" spans="1:9" x14ac:dyDescent="0.45">
      <c r="A470" s="97"/>
      <c r="B470" s="97"/>
      <c r="C470" s="97"/>
      <c r="D470" s="97"/>
      <c r="E470" s="97"/>
      <c r="F470" s="97"/>
      <c r="G470" s="97"/>
      <c r="H470" s="97"/>
      <c r="I470" s="97"/>
    </row>
    <row r="471" spans="1:9" x14ac:dyDescent="0.45">
      <c r="A471" s="97"/>
      <c r="B471" s="97"/>
      <c r="C471" s="97"/>
      <c r="D471" s="97"/>
      <c r="E471" s="97"/>
      <c r="F471" s="97"/>
      <c r="G471" s="97"/>
      <c r="H471" s="97"/>
      <c r="I471" s="97"/>
    </row>
  </sheetData>
  <mergeCells count="18">
    <mergeCell ref="C160:G160"/>
    <mergeCell ref="A208:I210"/>
    <mergeCell ref="A364:I366"/>
    <mergeCell ref="A469:I471"/>
    <mergeCell ref="A260:I262"/>
    <mergeCell ref="A1:I1"/>
    <mergeCell ref="A52:I54"/>
    <mergeCell ref="A104:I106"/>
    <mergeCell ref="A312:I314"/>
    <mergeCell ref="A416:I418"/>
    <mergeCell ref="C316:G316"/>
    <mergeCell ref="C56:G56"/>
    <mergeCell ref="C212:G212"/>
    <mergeCell ref="C264:G264"/>
    <mergeCell ref="C368:G368"/>
    <mergeCell ref="C420:G420"/>
    <mergeCell ref="C108:G108"/>
    <mergeCell ref="A156:I158"/>
  </mergeCells>
  <phoneticPr fontId="2"/>
  <conditionalFormatting sqref="C48:H48">
    <cfRule type="cellIs" dxfId="15" priority="3" operator="lessThan">
      <formula>0</formula>
    </cfRule>
    <cfRule type="cellIs" dxfId="14" priority="4" operator="greaterThan">
      <formula>0</formula>
    </cfRule>
  </conditionalFormatting>
  <conditionalFormatting sqref="C50:H51">
    <cfRule type="cellIs" dxfId="13" priority="1" operator="lessThan">
      <formula>0</formula>
    </cfRule>
    <cfRule type="cellIs" dxfId="12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8" manualBreakCount="8">
    <brk id="54" max="16383" man="1"/>
    <brk id="106" max="16383" man="1"/>
    <brk id="158" max="16383" man="1"/>
    <brk id="210" max="16383" man="1"/>
    <brk id="262" max="16383" man="1"/>
    <brk id="314" max="16383" man="1"/>
    <brk id="366" max="16383" man="1"/>
    <brk id="418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"/>
  <sheetViews>
    <sheetView showGridLines="0" zoomScale="80" zoomScaleNormal="80" zoomScaleSheetLayoutView="80" zoomScalePageLayoutView="90" workbookViewId="0">
      <selection activeCell="G6" sqref="G6"/>
    </sheetView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30" t="s">
        <v>0</v>
      </c>
      <c r="B1" s="31" t="s">
        <v>1</v>
      </c>
      <c r="C1" s="31" t="s">
        <v>16</v>
      </c>
      <c r="D1" s="32" t="s">
        <v>31</v>
      </c>
      <c r="E1" s="30" t="s">
        <v>2</v>
      </c>
      <c r="F1" s="30" t="s">
        <v>17</v>
      </c>
      <c r="G1" s="33" t="s">
        <v>28</v>
      </c>
      <c r="H1" s="30" t="s">
        <v>3</v>
      </c>
      <c r="I1" s="31" t="s">
        <v>29</v>
      </c>
      <c r="J1" s="30" t="s">
        <v>18</v>
      </c>
      <c r="K1" s="31" t="s">
        <v>30</v>
      </c>
      <c r="L1" s="31" t="s">
        <v>15</v>
      </c>
      <c r="M1" s="32" t="s">
        <v>32</v>
      </c>
      <c r="N1" s="31" t="s">
        <v>33</v>
      </c>
      <c r="O1" s="5" t="s">
        <v>4</v>
      </c>
      <c r="P1" s="5" t="s">
        <v>38</v>
      </c>
      <c r="Q1" s="25" t="s">
        <v>39</v>
      </c>
      <c r="R1" s="5" t="s">
        <v>5</v>
      </c>
      <c r="S1" s="5" t="s">
        <v>7</v>
      </c>
      <c r="T1" s="5" t="s">
        <v>6</v>
      </c>
      <c r="V1" s="15"/>
      <c r="W1" s="16" t="s">
        <v>19</v>
      </c>
      <c r="X1" s="16" t="s">
        <v>20</v>
      </c>
      <c r="Y1" s="16" t="s">
        <v>21</v>
      </c>
      <c r="Z1" s="16" t="s">
        <v>22</v>
      </c>
      <c r="AA1" s="16" t="s">
        <v>23</v>
      </c>
      <c r="AB1" s="16" t="s">
        <v>24</v>
      </c>
      <c r="AD1" s="28"/>
      <c r="AE1" s="28"/>
    </row>
    <row r="2" spans="1:31" ht="18" x14ac:dyDescent="0.45">
      <c r="A2" s="7"/>
      <c r="B2" s="8"/>
      <c r="C2" s="8"/>
      <c r="D2" s="8"/>
      <c r="E2" s="9"/>
      <c r="F2" s="9"/>
      <c r="G2" s="9"/>
      <c r="H2" s="7"/>
      <c r="I2" s="8"/>
      <c r="J2" s="9"/>
      <c r="K2" s="8"/>
      <c r="L2" s="8"/>
      <c r="M2" s="8"/>
      <c r="N2" s="8"/>
      <c r="O2" s="6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20" t="s">
        <v>10</v>
      </c>
      <c r="W2" s="24"/>
      <c r="X2" s="24"/>
      <c r="Y2" s="24"/>
      <c r="Z2" s="24"/>
      <c r="AA2" s="24"/>
      <c r="AB2" s="24"/>
    </row>
    <row r="3" spans="1:31" x14ac:dyDescent="0.45">
      <c r="A3" s="7"/>
      <c r="B3" s="8"/>
      <c r="C3" s="8"/>
      <c r="D3" s="8"/>
      <c r="E3" s="9"/>
      <c r="F3" s="9"/>
      <c r="G3" s="9"/>
      <c r="H3" s="7"/>
      <c r="I3" s="8"/>
      <c r="J3" s="9"/>
      <c r="K3" s="8"/>
      <c r="L3" s="8"/>
      <c r="M3" s="8"/>
      <c r="N3" s="8"/>
      <c r="O3" s="6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7" t="s">
        <v>25</v>
      </c>
      <c r="W3" s="18">
        <f t="shared" ref="W3:AB3" si="4">W2-W7</f>
        <v>0</v>
      </c>
      <c r="X3" s="18">
        <f t="shared" si="4"/>
        <v>0</v>
      </c>
      <c r="Y3" s="18">
        <f t="shared" si="4"/>
        <v>0</v>
      </c>
      <c r="Z3" s="18">
        <f t="shared" si="4"/>
        <v>0</v>
      </c>
      <c r="AA3" s="18">
        <f t="shared" si="4"/>
        <v>0</v>
      </c>
      <c r="AB3" s="18">
        <f t="shared" si="4"/>
        <v>0</v>
      </c>
    </row>
    <row r="4" spans="1:31" ht="18" x14ac:dyDescent="0.45">
      <c r="A4" s="7"/>
      <c r="B4" s="8"/>
      <c r="C4" s="8"/>
      <c r="D4" s="8"/>
      <c r="E4" s="9"/>
      <c r="F4" s="9"/>
      <c r="G4" s="9"/>
      <c r="H4" s="7"/>
      <c r="I4" s="8"/>
      <c r="J4" s="9"/>
      <c r="K4" s="8"/>
      <c r="L4" s="8"/>
      <c r="M4" s="8"/>
      <c r="N4" s="8"/>
      <c r="O4" s="6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20" t="s">
        <v>11</v>
      </c>
      <c r="W4" s="24"/>
      <c r="X4" s="24"/>
      <c r="Y4" s="24"/>
      <c r="Z4" s="24"/>
      <c r="AA4" s="24"/>
      <c r="AB4" s="24"/>
    </row>
    <row r="5" spans="1:31" x14ac:dyDescent="0.45">
      <c r="A5" s="7"/>
      <c r="B5" s="8"/>
      <c r="C5" s="8"/>
      <c r="D5" s="8"/>
      <c r="E5" s="9"/>
      <c r="F5" s="9"/>
      <c r="G5" s="9"/>
      <c r="H5" s="7"/>
      <c r="I5" s="8"/>
      <c r="J5" s="9"/>
      <c r="K5" s="8"/>
      <c r="L5" s="8"/>
      <c r="M5" s="8"/>
      <c r="N5" s="8"/>
      <c r="O5" s="6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9" t="s">
        <v>25</v>
      </c>
      <c r="W5" s="18">
        <f t="shared" ref="W5:AB5" si="5">W4-W8</f>
        <v>0</v>
      </c>
      <c r="X5" s="18">
        <f t="shared" si="5"/>
        <v>0</v>
      </c>
      <c r="Y5" s="18">
        <f t="shared" si="5"/>
        <v>0</v>
      </c>
      <c r="Z5" s="18">
        <f t="shared" si="5"/>
        <v>0</v>
      </c>
      <c r="AA5" s="18">
        <f t="shared" si="5"/>
        <v>0</v>
      </c>
      <c r="AB5" s="18">
        <f t="shared" si="5"/>
        <v>0</v>
      </c>
    </row>
    <row r="6" spans="1:31" x14ac:dyDescent="0.45">
      <c r="A6" s="7"/>
      <c r="B6" s="8"/>
      <c r="C6" s="8"/>
      <c r="D6" s="8"/>
      <c r="E6" s="9"/>
      <c r="F6" s="9"/>
      <c r="G6" s="9"/>
      <c r="H6" s="7"/>
      <c r="I6" s="8"/>
      <c r="J6" s="9"/>
      <c r="K6" s="8"/>
      <c r="L6" s="8"/>
      <c r="M6" s="8"/>
      <c r="N6" s="8"/>
      <c r="O6" s="6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7"/>
      <c r="B7" s="8"/>
      <c r="C7" s="8"/>
      <c r="D7" s="8"/>
      <c r="E7" s="9"/>
      <c r="F7" s="9"/>
      <c r="G7" s="9"/>
      <c r="H7" s="7"/>
      <c r="I7" s="8"/>
      <c r="J7" s="9"/>
      <c r="K7" s="8"/>
      <c r="L7" s="8"/>
      <c r="M7" s="8"/>
      <c r="N7" s="8"/>
      <c r="O7" s="6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26</v>
      </c>
      <c r="W7" s="12"/>
      <c r="X7" s="12"/>
      <c r="Y7" s="12"/>
      <c r="Z7" s="12"/>
      <c r="AA7" s="12"/>
      <c r="AB7" s="12"/>
    </row>
    <row r="8" spans="1:31" x14ac:dyDescent="0.45">
      <c r="H8" s="1"/>
      <c r="I8" s="2"/>
      <c r="J8" s="1"/>
      <c r="Q8" s="2"/>
      <c r="V8" s="1" t="s">
        <v>27</v>
      </c>
      <c r="W8" s="12"/>
      <c r="X8" s="12"/>
      <c r="Y8" s="12"/>
      <c r="Z8" s="12"/>
      <c r="AA8" s="12"/>
      <c r="AB8" s="12"/>
    </row>
    <row r="9" spans="1:31" ht="27" thickBot="1" x14ac:dyDescent="0.7">
      <c r="A9" s="102" t="str">
        <f>"売上　計画ｘ見込み（" &amp; TEXT(B11, "yyyy年m月") &amp; "）"</f>
        <v>売上　計画ｘ見込み（1900年1月）</v>
      </c>
      <c r="B9" s="102"/>
      <c r="C9" s="102"/>
      <c r="D9" s="103"/>
      <c r="G9" s="2"/>
      <c r="H9" s="102" t="str">
        <f>"稼働率　計画ｘ見込み（" &amp; TEXT(B11, "yyyy年m月") &amp; "）"</f>
        <v>稼働率　計画ｘ見込み（1900年1月）</v>
      </c>
      <c r="I9" s="102"/>
      <c r="J9" s="102"/>
      <c r="K9" s="102"/>
      <c r="O9" s="1"/>
      <c r="P9" s="1"/>
    </row>
    <row r="10" spans="1:31" ht="25.05" customHeight="1" x14ac:dyDescent="0.45">
      <c r="A10" s="45" t="s">
        <v>12</v>
      </c>
      <c r="B10" s="42" t="s">
        <v>34</v>
      </c>
      <c r="C10" s="75" t="s">
        <v>1</v>
      </c>
      <c r="D10" s="80" t="s">
        <v>36</v>
      </c>
      <c r="E10" s="77" t="s">
        <v>13</v>
      </c>
      <c r="F10" s="43" t="s">
        <v>40</v>
      </c>
      <c r="G10" s="44"/>
      <c r="H10" s="47" t="s">
        <v>12</v>
      </c>
      <c r="I10" s="48" t="s">
        <v>34</v>
      </c>
      <c r="J10" s="49" t="s">
        <v>2</v>
      </c>
      <c r="K10" s="120" t="s">
        <v>35</v>
      </c>
      <c r="L10" s="86" t="s">
        <v>14</v>
      </c>
      <c r="M10" t="s">
        <v>56</v>
      </c>
      <c r="O10" s="5" t="s">
        <v>9</v>
      </c>
      <c r="P10" s="5" t="s">
        <v>37</v>
      </c>
      <c r="Q10" s="5" t="s">
        <v>8</v>
      </c>
      <c r="R10" s="5" t="s">
        <v>53</v>
      </c>
    </row>
    <row r="11" spans="1:31" x14ac:dyDescent="0.45">
      <c r="A11" s="34"/>
      <c r="B11" s="35"/>
      <c r="C11" s="105"/>
      <c r="D11" s="106"/>
      <c r="E11" s="107"/>
      <c r="F11" s="11"/>
      <c r="G11" s="11"/>
      <c r="H11" s="64"/>
      <c r="I11" s="52"/>
      <c r="J11" s="65"/>
      <c r="K11" s="92"/>
      <c r="L11" s="87"/>
      <c r="M11" s="23"/>
      <c r="N11" s="11"/>
      <c r="O11" s="14">
        <f>C11/10000</f>
        <v>0</v>
      </c>
      <c r="P11" s="14">
        <f>D11/10000</f>
        <v>0</v>
      </c>
      <c r="Q11" s="14">
        <f>E11/10000</f>
        <v>0</v>
      </c>
      <c r="R11" s="14" t="str">
        <f>IF(OR(F11="",F11=0),"",(D11+F11)/10000)</f>
        <v/>
      </c>
    </row>
    <row r="12" spans="1:31" x14ac:dyDescent="0.45">
      <c r="A12" s="36"/>
      <c r="B12" s="37"/>
      <c r="C12" s="108"/>
      <c r="D12" s="109"/>
      <c r="E12" s="110"/>
      <c r="F12" s="11"/>
      <c r="H12" s="55"/>
      <c r="I12" s="56"/>
      <c r="J12" s="67"/>
      <c r="K12" s="93"/>
      <c r="L12" s="88"/>
      <c r="M12" s="13"/>
      <c r="N12" s="10"/>
      <c r="O12" s="14">
        <f t="shared" ref="O12:O38" si="6">C12/10000</f>
        <v>0</v>
      </c>
      <c r="P12" s="14">
        <f t="shared" ref="P12:P38" si="7">D12/10000</f>
        <v>0</v>
      </c>
      <c r="Q12" s="14">
        <f t="shared" ref="Q12:R38" si="8">E12/10000</f>
        <v>0</v>
      </c>
      <c r="R12" s="14" t="str">
        <f t="shared" ref="R12:R38" si="9">IF(OR(F12="",F12=0),"",(D12+F12)/10000)</f>
        <v/>
      </c>
    </row>
    <row r="13" spans="1:31" x14ac:dyDescent="0.45">
      <c r="A13" s="38"/>
      <c r="B13" s="35"/>
      <c r="C13" s="111"/>
      <c r="D13" s="112"/>
      <c r="E13" s="107"/>
      <c r="F13" s="11"/>
      <c r="H13" s="59"/>
      <c r="I13" s="52"/>
      <c r="J13" s="69"/>
      <c r="K13" s="94"/>
      <c r="L13" s="89"/>
      <c r="M13" s="13"/>
      <c r="N13" s="10"/>
      <c r="O13" s="14">
        <f t="shared" si="6"/>
        <v>0</v>
      </c>
      <c r="P13" s="14">
        <f t="shared" si="7"/>
        <v>0</v>
      </c>
      <c r="Q13" s="14">
        <f t="shared" si="8"/>
        <v>0</v>
      </c>
      <c r="R13" s="14" t="str">
        <f t="shared" si="9"/>
        <v/>
      </c>
    </row>
    <row r="14" spans="1:31" x14ac:dyDescent="0.45">
      <c r="A14" s="36"/>
      <c r="B14" s="37"/>
      <c r="C14" s="108"/>
      <c r="D14" s="109"/>
      <c r="E14" s="110"/>
      <c r="F14" s="11"/>
      <c r="H14" s="55"/>
      <c r="I14" s="56"/>
      <c r="J14" s="67"/>
      <c r="K14" s="93"/>
      <c r="L14" s="88"/>
      <c r="M14" s="13"/>
      <c r="N14" s="10"/>
      <c r="O14" s="14">
        <f t="shared" si="6"/>
        <v>0</v>
      </c>
      <c r="P14" s="14">
        <f t="shared" si="7"/>
        <v>0</v>
      </c>
      <c r="Q14" s="14">
        <f t="shared" si="8"/>
        <v>0</v>
      </c>
      <c r="R14" s="14" t="str">
        <f t="shared" si="9"/>
        <v/>
      </c>
    </row>
    <row r="15" spans="1:31" x14ac:dyDescent="0.45">
      <c r="A15" s="38"/>
      <c r="B15" s="35"/>
      <c r="C15" s="111"/>
      <c r="D15" s="112"/>
      <c r="E15" s="107"/>
      <c r="F15" s="11"/>
      <c r="H15" s="59"/>
      <c r="I15" s="52"/>
      <c r="J15" s="69"/>
      <c r="K15" s="94"/>
      <c r="L15" s="89"/>
      <c r="M15" s="13"/>
      <c r="N15"/>
      <c r="O15" s="14">
        <f t="shared" si="6"/>
        <v>0</v>
      </c>
      <c r="P15" s="14">
        <f t="shared" si="7"/>
        <v>0</v>
      </c>
      <c r="Q15" s="14">
        <f t="shared" si="8"/>
        <v>0</v>
      </c>
      <c r="R15" s="14" t="str">
        <f t="shared" si="9"/>
        <v/>
      </c>
    </row>
    <row r="16" spans="1:31" x14ac:dyDescent="0.45">
      <c r="A16" s="36"/>
      <c r="B16" s="37"/>
      <c r="C16" s="108"/>
      <c r="D16" s="109"/>
      <c r="E16" s="110"/>
      <c r="F16" s="11"/>
      <c r="H16" s="55"/>
      <c r="I16" s="56"/>
      <c r="J16" s="67"/>
      <c r="K16" s="93"/>
      <c r="L16" s="88"/>
      <c r="M16" s="13"/>
      <c r="N16"/>
      <c r="O16" s="14">
        <f t="shared" si="6"/>
        <v>0</v>
      </c>
      <c r="P16" s="14">
        <f t="shared" si="7"/>
        <v>0</v>
      </c>
      <c r="Q16" s="14">
        <f t="shared" si="8"/>
        <v>0</v>
      </c>
      <c r="R16" s="14" t="str">
        <f t="shared" si="9"/>
        <v/>
      </c>
    </row>
    <row r="17" spans="1:18" x14ac:dyDescent="0.45">
      <c r="A17" s="38"/>
      <c r="B17" s="35"/>
      <c r="C17" s="111"/>
      <c r="D17" s="112"/>
      <c r="E17" s="107"/>
      <c r="F17" s="11"/>
      <c r="H17" s="59"/>
      <c r="I17" s="52"/>
      <c r="J17" s="69"/>
      <c r="K17" s="94"/>
      <c r="L17" s="89"/>
      <c r="M17" s="13"/>
      <c r="N17"/>
      <c r="O17" s="14">
        <f t="shared" si="6"/>
        <v>0</v>
      </c>
      <c r="P17" s="14">
        <f t="shared" si="7"/>
        <v>0</v>
      </c>
      <c r="Q17" s="14">
        <f t="shared" si="8"/>
        <v>0</v>
      </c>
      <c r="R17" s="14" t="str">
        <f t="shared" si="9"/>
        <v/>
      </c>
    </row>
    <row r="18" spans="1:18" x14ac:dyDescent="0.45">
      <c r="A18" s="36"/>
      <c r="B18" s="37"/>
      <c r="C18" s="108"/>
      <c r="D18" s="109"/>
      <c r="E18" s="110"/>
      <c r="F18" s="11"/>
      <c r="H18" s="55"/>
      <c r="I18" s="56"/>
      <c r="J18" s="67"/>
      <c r="K18" s="93"/>
      <c r="L18" s="88"/>
      <c r="M18" s="13"/>
      <c r="N18"/>
      <c r="O18" s="14">
        <f t="shared" si="6"/>
        <v>0</v>
      </c>
      <c r="P18" s="14">
        <f t="shared" si="7"/>
        <v>0</v>
      </c>
      <c r="Q18" s="14">
        <f t="shared" si="8"/>
        <v>0</v>
      </c>
      <c r="R18" s="14" t="str">
        <f t="shared" si="9"/>
        <v/>
      </c>
    </row>
    <row r="19" spans="1:18" x14ac:dyDescent="0.45">
      <c r="A19" s="38"/>
      <c r="B19" s="35"/>
      <c r="C19" s="111"/>
      <c r="D19" s="112"/>
      <c r="E19" s="107"/>
      <c r="F19" s="11"/>
      <c r="H19" s="59"/>
      <c r="I19" s="52"/>
      <c r="J19" s="69"/>
      <c r="K19" s="94"/>
      <c r="L19" s="89"/>
      <c r="M19" s="13"/>
      <c r="N19"/>
      <c r="O19" s="14">
        <f t="shared" si="6"/>
        <v>0</v>
      </c>
      <c r="P19" s="14">
        <f t="shared" si="7"/>
        <v>0</v>
      </c>
      <c r="Q19" s="14">
        <f t="shared" si="8"/>
        <v>0</v>
      </c>
      <c r="R19" s="14" t="str">
        <f t="shared" si="9"/>
        <v/>
      </c>
    </row>
    <row r="20" spans="1:18" x14ac:dyDescent="0.45">
      <c r="A20" s="36"/>
      <c r="B20" s="37"/>
      <c r="C20" s="108"/>
      <c r="D20" s="109"/>
      <c r="E20" s="110"/>
      <c r="F20" s="11"/>
      <c r="H20" s="55"/>
      <c r="I20" s="56"/>
      <c r="J20" s="67"/>
      <c r="K20" s="93"/>
      <c r="L20" s="88"/>
      <c r="M20" s="13"/>
      <c r="N20"/>
      <c r="O20" s="14">
        <f t="shared" si="6"/>
        <v>0</v>
      </c>
      <c r="P20" s="14">
        <f t="shared" si="7"/>
        <v>0</v>
      </c>
      <c r="Q20" s="14">
        <f t="shared" si="8"/>
        <v>0</v>
      </c>
      <c r="R20" s="14" t="str">
        <f t="shared" si="9"/>
        <v/>
      </c>
    </row>
    <row r="21" spans="1:18" x14ac:dyDescent="0.45">
      <c r="A21" s="38"/>
      <c r="B21" s="35"/>
      <c r="C21" s="111"/>
      <c r="D21" s="112"/>
      <c r="E21" s="107"/>
      <c r="F21" s="11"/>
      <c r="H21" s="59"/>
      <c r="I21" s="52"/>
      <c r="J21" s="69"/>
      <c r="K21" s="94"/>
      <c r="L21" s="89"/>
      <c r="M21" s="13"/>
      <c r="N21"/>
      <c r="O21" s="14">
        <f t="shared" si="6"/>
        <v>0</v>
      </c>
      <c r="P21" s="14">
        <f t="shared" si="7"/>
        <v>0</v>
      </c>
      <c r="Q21" s="14">
        <f t="shared" si="8"/>
        <v>0</v>
      </c>
      <c r="R21" s="14" t="str">
        <f t="shared" si="9"/>
        <v/>
      </c>
    </row>
    <row r="22" spans="1:18" x14ac:dyDescent="0.45">
      <c r="A22" s="36"/>
      <c r="B22" s="37"/>
      <c r="C22" s="108"/>
      <c r="D22" s="109"/>
      <c r="E22" s="110"/>
      <c r="F22" s="11"/>
      <c r="H22" s="55"/>
      <c r="I22" s="56"/>
      <c r="J22" s="67"/>
      <c r="K22" s="93"/>
      <c r="L22" s="88"/>
      <c r="M22" s="13"/>
      <c r="N22"/>
      <c r="O22" s="14">
        <f t="shared" si="6"/>
        <v>0</v>
      </c>
      <c r="P22" s="14">
        <f t="shared" si="7"/>
        <v>0</v>
      </c>
      <c r="Q22" s="14">
        <f t="shared" si="8"/>
        <v>0</v>
      </c>
      <c r="R22" s="14" t="str">
        <f t="shared" si="9"/>
        <v/>
      </c>
    </row>
    <row r="23" spans="1:18" x14ac:dyDescent="0.45">
      <c r="A23" s="38"/>
      <c r="B23" s="35"/>
      <c r="C23" s="111"/>
      <c r="D23" s="112"/>
      <c r="E23" s="107"/>
      <c r="F23" s="11"/>
      <c r="H23" s="59"/>
      <c r="I23" s="52"/>
      <c r="J23" s="69"/>
      <c r="K23" s="94"/>
      <c r="L23" s="89"/>
      <c r="M23" s="13"/>
      <c r="N23"/>
      <c r="O23" s="14">
        <f t="shared" si="6"/>
        <v>0</v>
      </c>
      <c r="P23" s="14">
        <f t="shared" si="7"/>
        <v>0</v>
      </c>
      <c r="Q23" s="14">
        <f t="shared" si="8"/>
        <v>0</v>
      </c>
      <c r="R23" s="14" t="str">
        <f t="shared" si="9"/>
        <v/>
      </c>
    </row>
    <row r="24" spans="1:18" x14ac:dyDescent="0.45">
      <c r="A24" s="36"/>
      <c r="B24" s="37"/>
      <c r="C24" s="108"/>
      <c r="D24" s="109"/>
      <c r="E24" s="110"/>
      <c r="F24" s="11"/>
      <c r="H24" s="55"/>
      <c r="I24" s="56"/>
      <c r="J24" s="67"/>
      <c r="K24" s="93"/>
      <c r="L24" s="88"/>
      <c r="M24" s="13"/>
      <c r="N24"/>
      <c r="O24" s="14">
        <f t="shared" si="6"/>
        <v>0</v>
      </c>
      <c r="P24" s="14">
        <f t="shared" si="7"/>
        <v>0</v>
      </c>
      <c r="Q24" s="14">
        <f t="shared" si="8"/>
        <v>0</v>
      </c>
      <c r="R24" s="14" t="str">
        <f t="shared" si="9"/>
        <v/>
      </c>
    </row>
    <row r="25" spans="1:18" x14ac:dyDescent="0.45">
      <c r="A25" s="38"/>
      <c r="B25" s="35"/>
      <c r="C25" s="111"/>
      <c r="D25" s="112"/>
      <c r="E25" s="107"/>
      <c r="F25" s="11"/>
      <c r="H25" s="59"/>
      <c r="I25" s="52"/>
      <c r="J25" s="69"/>
      <c r="K25" s="94"/>
      <c r="L25" s="89"/>
      <c r="M25" s="13"/>
      <c r="N25"/>
      <c r="O25" s="14">
        <f t="shared" si="6"/>
        <v>0</v>
      </c>
      <c r="P25" s="14">
        <f t="shared" si="7"/>
        <v>0</v>
      </c>
      <c r="Q25" s="14">
        <f t="shared" si="8"/>
        <v>0</v>
      </c>
      <c r="R25" s="14" t="str">
        <f t="shared" si="9"/>
        <v/>
      </c>
    </row>
    <row r="26" spans="1:18" x14ac:dyDescent="0.45">
      <c r="A26" s="36"/>
      <c r="B26" s="37"/>
      <c r="C26" s="108"/>
      <c r="D26" s="109"/>
      <c r="E26" s="110"/>
      <c r="F26" s="11"/>
      <c r="G26" s="11"/>
      <c r="H26" s="55"/>
      <c r="I26" s="56"/>
      <c r="J26" s="67"/>
      <c r="K26" s="93"/>
      <c r="L26" s="88"/>
      <c r="M26" s="13"/>
      <c r="N26"/>
      <c r="O26" s="14">
        <f t="shared" si="6"/>
        <v>0</v>
      </c>
      <c r="P26" s="14">
        <f t="shared" si="7"/>
        <v>0</v>
      </c>
      <c r="Q26" s="14">
        <f t="shared" si="8"/>
        <v>0</v>
      </c>
      <c r="R26" s="14" t="str">
        <f t="shared" si="9"/>
        <v/>
      </c>
    </row>
    <row r="27" spans="1:18" x14ac:dyDescent="0.45">
      <c r="A27" s="38"/>
      <c r="B27" s="35"/>
      <c r="C27" s="111"/>
      <c r="D27" s="112"/>
      <c r="E27" s="107"/>
      <c r="F27" s="11"/>
      <c r="H27" s="59"/>
      <c r="I27" s="52"/>
      <c r="J27" s="69"/>
      <c r="K27" s="94"/>
      <c r="L27" s="89"/>
      <c r="M27" s="13"/>
      <c r="N27"/>
      <c r="O27" s="14">
        <f t="shared" si="6"/>
        <v>0</v>
      </c>
      <c r="P27" s="14">
        <f t="shared" si="7"/>
        <v>0</v>
      </c>
      <c r="Q27" s="14">
        <f t="shared" si="8"/>
        <v>0</v>
      </c>
      <c r="R27" s="14" t="str">
        <f t="shared" si="9"/>
        <v/>
      </c>
    </row>
    <row r="28" spans="1:18" x14ac:dyDescent="0.45">
      <c r="A28" s="36"/>
      <c r="B28" s="37"/>
      <c r="C28" s="108"/>
      <c r="D28" s="109"/>
      <c r="E28" s="110"/>
      <c r="F28" s="11"/>
      <c r="H28" s="55"/>
      <c r="I28" s="56"/>
      <c r="J28" s="67"/>
      <c r="K28" s="93"/>
      <c r="L28" s="88"/>
      <c r="M28" s="13"/>
      <c r="N28"/>
      <c r="O28" s="14">
        <f t="shared" si="6"/>
        <v>0</v>
      </c>
      <c r="P28" s="14">
        <f t="shared" si="7"/>
        <v>0</v>
      </c>
      <c r="Q28" s="14">
        <f t="shared" si="8"/>
        <v>0</v>
      </c>
      <c r="R28" s="14" t="str">
        <f t="shared" si="9"/>
        <v/>
      </c>
    </row>
    <row r="29" spans="1:18" x14ac:dyDescent="0.45">
      <c r="A29" s="38"/>
      <c r="B29" s="35"/>
      <c r="C29" s="111"/>
      <c r="D29" s="112"/>
      <c r="E29" s="107"/>
      <c r="F29" s="11"/>
      <c r="H29" s="59"/>
      <c r="I29" s="52"/>
      <c r="J29" s="69"/>
      <c r="K29" s="94"/>
      <c r="L29" s="89"/>
      <c r="M29" s="13"/>
      <c r="N29"/>
      <c r="O29" s="14">
        <f t="shared" si="6"/>
        <v>0</v>
      </c>
      <c r="P29" s="14">
        <f t="shared" si="7"/>
        <v>0</v>
      </c>
      <c r="Q29" s="14">
        <f t="shared" si="8"/>
        <v>0</v>
      </c>
      <c r="R29" s="14" t="str">
        <f t="shared" si="9"/>
        <v/>
      </c>
    </row>
    <row r="30" spans="1:18" x14ac:dyDescent="0.45">
      <c r="A30" s="36"/>
      <c r="B30" s="37"/>
      <c r="C30" s="108"/>
      <c r="D30" s="109"/>
      <c r="E30" s="110"/>
      <c r="F30" s="11"/>
      <c r="H30" s="55"/>
      <c r="I30" s="56"/>
      <c r="J30" s="67"/>
      <c r="K30" s="93"/>
      <c r="L30" s="88"/>
      <c r="M30" s="13"/>
      <c r="N30"/>
      <c r="O30" s="14">
        <f t="shared" si="6"/>
        <v>0</v>
      </c>
      <c r="P30" s="14">
        <f t="shared" si="7"/>
        <v>0</v>
      </c>
      <c r="Q30" s="14">
        <f t="shared" si="8"/>
        <v>0</v>
      </c>
      <c r="R30" s="14" t="str">
        <f t="shared" si="9"/>
        <v/>
      </c>
    </row>
    <row r="31" spans="1:18" x14ac:dyDescent="0.45">
      <c r="A31" s="38"/>
      <c r="B31" s="35"/>
      <c r="C31" s="111"/>
      <c r="D31" s="112"/>
      <c r="E31" s="107"/>
      <c r="F31" s="11"/>
      <c r="H31" s="59"/>
      <c r="I31" s="52"/>
      <c r="J31" s="69"/>
      <c r="K31" s="94"/>
      <c r="L31" s="89"/>
      <c r="M31" s="13"/>
      <c r="N31"/>
      <c r="O31" s="14">
        <f t="shared" si="6"/>
        <v>0</v>
      </c>
      <c r="P31" s="14">
        <f t="shared" si="7"/>
        <v>0</v>
      </c>
      <c r="Q31" s="14">
        <f t="shared" si="8"/>
        <v>0</v>
      </c>
      <c r="R31" s="14" t="str">
        <f t="shared" si="9"/>
        <v/>
      </c>
    </row>
    <row r="32" spans="1:18" x14ac:dyDescent="0.45">
      <c r="A32" s="36"/>
      <c r="B32" s="37"/>
      <c r="C32" s="108"/>
      <c r="D32" s="109"/>
      <c r="E32" s="110"/>
      <c r="F32" s="11"/>
      <c r="H32" s="55"/>
      <c r="I32" s="56"/>
      <c r="J32" s="67"/>
      <c r="K32" s="93"/>
      <c r="L32" s="88"/>
      <c r="M32" s="13"/>
      <c r="N32"/>
      <c r="O32" s="14">
        <f t="shared" si="6"/>
        <v>0</v>
      </c>
      <c r="P32" s="14">
        <f t="shared" si="7"/>
        <v>0</v>
      </c>
      <c r="Q32" s="14">
        <f t="shared" si="8"/>
        <v>0</v>
      </c>
      <c r="R32" s="14" t="str">
        <f t="shared" si="9"/>
        <v/>
      </c>
    </row>
    <row r="33" spans="1:18" x14ac:dyDescent="0.45">
      <c r="A33" s="38"/>
      <c r="B33" s="35"/>
      <c r="C33" s="111"/>
      <c r="D33" s="112"/>
      <c r="E33" s="107"/>
      <c r="F33" s="11"/>
      <c r="H33" s="59"/>
      <c r="I33" s="52"/>
      <c r="J33" s="69"/>
      <c r="K33" s="94"/>
      <c r="L33" s="89"/>
      <c r="M33" s="13"/>
      <c r="N33"/>
      <c r="O33" s="14">
        <f t="shared" si="6"/>
        <v>0</v>
      </c>
      <c r="P33" s="14">
        <f t="shared" si="7"/>
        <v>0</v>
      </c>
      <c r="Q33" s="14">
        <f t="shared" si="8"/>
        <v>0</v>
      </c>
      <c r="R33" s="14" t="str">
        <f t="shared" si="9"/>
        <v/>
      </c>
    </row>
    <row r="34" spans="1:18" x14ac:dyDescent="0.45">
      <c r="A34" s="36"/>
      <c r="B34" s="37"/>
      <c r="C34" s="108"/>
      <c r="D34" s="109"/>
      <c r="E34" s="110"/>
      <c r="F34" s="11"/>
      <c r="H34" s="55"/>
      <c r="I34" s="56"/>
      <c r="J34" s="67"/>
      <c r="K34" s="93"/>
      <c r="L34" s="88"/>
      <c r="M34" s="13"/>
      <c r="N34"/>
      <c r="O34" s="14">
        <f t="shared" si="6"/>
        <v>0</v>
      </c>
      <c r="P34" s="14">
        <f t="shared" si="7"/>
        <v>0</v>
      </c>
      <c r="Q34" s="14">
        <f t="shared" si="8"/>
        <v>0</v>
      </c>
      <c r="R34" s="14" t="str">
        <f t="shared" si="9"/>
        <v/>
      </c>
    </row>
    <row r="35" spans="1:18" x14ac:dyDescent="0.45">
      <c r="A35" s="38"/>
      <c r="B35" s="35"/>
      <c r="C35" s="111"/>
      <c r="D35" s="112"/>
      <c r="E35" s="107"/>
      <c r="F35" s="11"/>
      <c r="H35" s="59"/>
      <c r="I35" s="52"/>
      <c r="J35" s="69"/>
      <c r="K35" s="94"/>
      <c r="L35" s="89"/>
      <c r="M35" s="13"/>
      <c r="N35"/>
      <c r="O35" s="14">
        <f t="shared" si="6"/>
        <v>0</v>
      </c>
      <c r="P35" s="14">
        <f t="shared" si="7"/>
        <v>0</v>
      </c>
      <c r="Q35" s="14">
        <f t="shared" si="8"/>
        <v>0</v>
      </c>
      <c r="R35" s="14" t="str">
        <f t="shared" si="9"/>
        <v/>
      </c>
    </row>
    <row r="36" spans="1:18" x14ac:dyDescent="0.45">
      <c r="A36" s="36"/>
      <c r="B36" s="37"/>
      <c r="C36" s="108"/>
      <c r="D36" s="109"/>
      <c r="E36" s="110"/>
      <c r="F36" s="11"/>
      <c r="H36" s="55"/>
      <c r="I36" s="56"/>
      <c r="J36" s="67"/>
      <c r="K36" s="93"/>
      <c r="L36" s="88"/>
      <c r="M36" s="13"/>
      <c r="N36"/>
      <c r="O36" s="14">
        <f t="shared" si="6"/>
        <v>0</v>
      </c>
      <c r="P36" s="14">
        <f t="shared" si="7"/>
        <v>0</v>
      </c>
      <c r="Q36" s="14">
        <f t="shared" si="8"/>
        <v>0</v>
      </c>
      <c r="R36" s="14" t="str">
        <f t="shared" si="9"/>
        <v/>
      </c>
    </row>
    <row r="37" spans="1:18" x14ac:dyDescent="0.45">
      <c r="A37" s="38"/>
      <c r="B37" s="35"/>
      <c r="C37" s="111"/>
      <c r="D37" s="112"/>
      <c r="E37" s="107"/>
      <c r="F37" s="11"/>
      <c r="H37" s="59"/>
      <c r="I37" s="52"/>
      <c r="J37" s="69"/>
      <c r="K37" s="94"/>
      <c r="L37" s="89"/>
      <c r="M37" s="13"/>
      <c r="N37"/>
      <c r="O37" s="14">
        <f t="shared" si="6"/>
        <v>0</v>
      </c>
      <c r="P37" s="14">
        <f t="shared" si="7"/>
        <v>0</v>
      </c>
      <c r="Q37" s="14">
        <f t="shared" si="8"/>
        <v>0</v>
      </c>
      <c r="R37" s="14" t="str">
        <f t="shared" si="9"/>
        <v/>
      </c>
    </row>
    <row r="38" spans="1:18" x14ac:dyDescent="0.45">
      <c r="A38" s="36"/>
      <c r="B38" s="37"/>
      <c r="C38" s="108"/>
      <c r="D38" s="109"/>
      <c r="E38" s="110"/>
      <c r="F38" s="11"/>
      <c r="H38" s="55"/>
      <c r="I38" s="56"/>
      <c r="J38" s="67"/>
      <c r="K38" s="93"/>
      <c r="L38" s="88"/>
      <c r="M38" s="13"/>
      <c r="N38"/>
      <c r="O38" s="14">
        <f t="shared" si="6"/>
        <v>0</v>
      </c>
      <c r="P38" s="14">
        <f t="shared" si="7"/>
        <v>0</v>
      </c>
      <c r="Q38" s="14">
        <f t="shared" si="8"/>
        <v>0</v>
      </c>
      <c r="R38" s="14" t="str">
        <f t="shared" si="9"/>
        <v/>
      </c>
    </row>
    <row r="39" spans="1:18" x14ac:dyDescent="0.45">
      <c r="A39" s="38"/>
      <c r="B39" s="39"/>
      <c r="C39" s="76"/>
      <c r="D39" s="84"/>
      <c r="E39" s="78"/>
      <c r="H39" s="71"/>
      <c r="I39" s="59"/>
      <c r="J39" s="71"/>
      <c r="K39" s="95"/>
      <c r="L39" s="90"/>
      <c r="R39" s="1" t="s">
        <v>55</v>
      </c>
    </row>
    <row r="40" spans="1:18" ht="18" thickBot="1" x14ac:dyDescent="0.5">
      <c r="A40" s="36"/>
      <c r="B40" s="40"/>
      <c r="C40" s="46"/>
      <c r="D40" s="85"/>
      <c r="E40" s="79"/>
      <c r="H40" s="73"/>
      <c r="I40" s="63"/>
      <c r="J40" s="73"/>
      <c r="K40" s="96"/>
      <c r="L40" s="91"/>
    </row>
  </sheetData>
  <mergeCells count="2">
    <mergeCell ref="A9:D9"/>
    <mergeCell ref="H9:K9"/>
  </mergeCells>
  <phoneticPr fontId="2"/>
  <conditionalFormatting sqref="W3:AB3">
    <cfRule type="cellIs" dxfId="9" priority="7" operator="lessThan">
      <formula>0</formula>
    </cfRule>
    <cfRule type="cellIs" dxfId="8" priority="8" operator="greaterThan">
      <formula>0</formula>
    </cfRule>
  </conditionalFormatting>
  <conditionalFormatting sqref="W5:AB5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E11:E40">
    <cfRule type="expression" dxfId="5" priority="1">
      <formula>$E11&lt;0</formula>
    </cfRule>
  </conditionalFormatting>
  <conditionalFormatting sqref="L11:L40">
    <cfRule type="expression" dxfId="4" priority="2">
      <formula>$L11&lt;0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96429-CBA4-47DB-BD2D-062FD863F809}">
  <dimension ref="A1:N92"/>
  <sheetViews>
    <sheetView workbookViewId="0">
      <selection activeCell="G26" sqref="G26"/>
    </sheetView>
  </sheetViews>
  <sheetFormatPr defaultRowHeight="17.399999999999999" x14ac:dyDescent="0.45"/>
  <cols>
    <col min="1" max="1" width="12.77734375" customWidth="1"/>
    <col min="2" max="2" width="11.44140625" customWidth="1"/>
    <col min="3" max="3" width="10.109375" style="114" bestFit="1" customWidth="1"/>
    <col min="4" max="4" width="9" style="114" bestFit="1" customWidth="1"/>
    <col min="5" max="5" width="9.109375" style="115" bestFit="1" customWidth="1"/>
    <col min="8" max="8" width="6.5546875" style="29" customWidth="1"/>
    <col min="9" max="9" width="10.88671875" customWidth="1"/>
    <col min="10" max="12" width="5.21875" style="29" customWidth="1"/>
    <col min="13" max="13" width="5.21875" customWidth="1"/>
    <col min="14" max="14" width="5.44140625" style="29" customWidth="1"/>
  </cols>
  <sheetData>
    <row r="1" spans="1:14" x14ac:dyDescent="0.45">
      <c r="A1" t="e">
        <f ca="1">"売上　計画ｘ見込み（" &amp; TEXT(E3, "yyyy年m月") &amp; "）"</f>
        <v>#N/A</v>
      </c>
      <c r="H1" s="29">
        <v>10000</v>
      </c>
    </row>
    <row r="2" spans="1:14" x14ac:dyDescent="0.45">
      <c r="A2" s="116" t="s">
        <v>12</v>
      </c>
      <c r="B2" s="116"/>
      <c r="C2" s="117" t="s">
        <v>52</v>
      </c>
      <c r="D2" s="117" t="s">
        <v>41</v>
      </c>
      <c r="E2" s="118" t="s">
        <v>34</v>
      </c>
      <c r="F2" t="s">
        <v>54</v>
      </c>
      <c r="H2" s="29" t="s">
        <v>51</v>
      </c>
      <c r="I2" t="s">
        <v>50</v>
      </c>
      <c r="J2" s="29" t="s">
        <v>49</v>
      </c>
      <c r="K2" s="29" t="s">
        <v>49</v>
      </c>
      <c r="L2" s="29" t="s">
        <v>48</v>
      </c>
      <c r="M2" s="29" t="s">
        <v>48</v>
      </c>
      <c r="N2" s="29" t="s">
        <v>48</v>
      </c>
    </row>
    <row r="3" spans="1:14" x14ac:dyDescent="0.45">
      <c r="A3" s="43" cm="1">
        <f t="array" aca="1" ref="A3" ca="1">INDIRECT("合計データ!A"&amp;$H3)</f>
        <v>0</v>
      </c>
      <c r="B3" s="43" t="s">
        <v>44</v>
      </c>
      <c r="C3" s="113" t="e">
        <f ca="1">ROUND(VLOOKUP($A3,INDIRECT($I3&amp;"!"&amp;$J3&amp;":"&amp;$K3),$L3,FALSE)/$H$1,0)</f>
        <v>#N/A</v>
      </c>
      <c r="D3" s="119"/>
      <c r="E3" s="115" t="e">
        <f ca="1">VLOOKUP($A3,INDIRECT($I3&amp;"!"&amp;$J3&amp;":"&amp;$K3),$N3,FALSE)</f>
        <v>#N/A</v>
      </c>
      <c r="H3" s="29">
        <v>11</v>
      </c>
      <c r="I3" t="s">
        <v>45</v>
      </c>
      <c r="J3" s="29" t="s">
        <v>46</v>
      </c>
      <c r="K3" s="29" t="s">
        <v>47</v>
      </c>
      <c r="L3" s="29">
        <v>5</v>
      </c>
      <c r="M3" s="29"/>
      <c r="N3" s="29">
        <v>2</v>
      </c>
    </row>
    <row r="4" spans="1:14" x14ac:dyDescent="0.45">
      <c r="A4" s="43"/>
      <c r="B4" s="43" t="s">
        <v>43</v>
      </c>
      <c r="C4" s="113" t="e">
        <f ca="1">ROUND(VLOOKUP($A3,INDIRECT($I4&amp;"!"&amp;$J4&amp;":"&amp;$K4),$L4,FALSE)/$H$1,0)</f>
        <v>#N/A</v>
      </c>
      <c r="D4" s="119" t="e">
        <f ca="1">ROUND(VLOOKUP($A3,INDIRECT($I4&amp;"!"&amp;$J4&amp;":"&amp;$K4),$M4,FALSE)/$H$1,0)</f>
        <v>#N/A</v>
      </c>
      <c r="E4" s="115" t="e">
        <f ca="1">VLOOKUP($A3,INDIRECT($I4&amp;"!"&amp;$J4&amp;":"&amp;$K4),$N4,FALSE)</f>
        <v>#N/A</v>
      </c>
      <c r="F4" s="114" t="e">
        <f ca="1">IF(D4=0,"",C4+D4)</f>
        <v>#N/A</v>
      </c>
      <c r="I4" t="str">
        <f>I3</f>
        <v>合計データ</v>
      </c>
      <c r="J4" s="29" t="str">
        <f>J3</f>
        <v>A11</v>
      </c>
      <c r="K4" s="29" t="str">
        <f>K3</f>
        <v>F40</v>
      </c>
      <c r="L4" s="29">
        <v>4</v>
      </c>
      <c r="M4" s="29">
        <v>6</v>
      </c>
      <c r="N4" s="29">
        <f>N3</f>
        <v>2</v>
      </c>
    </row>
    <row r="5" spans="1:14" x14ac:dyDescent="0.45">
      <c r="A5" s="43"/>
      <c r="B5" s="43" t="s">
        <v>42</v>
      </c>
      <c r="C5" s="113" t="e">
        <f ca="1">ROUND(VLOOKUP($A3,INDIRECT($I5&amp;"!"&amp;$J5&amp;":"&amp;$K5),$L5,FALSE)/$H$1,0)</f>
        <v>#N/A</v>
      </c>
      <c r="D5" s="119"/>
      <c r="E5" s="115" t="e">
        <f ca="1">VLOOKUP($A3,INDIRECT($I5&amp;"!"&amp;$J5&amp;":"&amp;$K5),$N5,FALSE)</f>
        <v>#N/A</v>
      </c>
      <c r="I5" t="str">
        <f>I4</f>
        <v>合計データ</v>
      </c>
      <c r="J5" s="29" t="str">
        <f>J4</f>
        <v>A11</v>
      </c>
      <c r="K5" s="29" t="str">
        <f>K4</f>
        <v>F40</v>
      </c>
      <c r="L5" s="29">
        <v>3</v>
      </c>
      <c r="M5" s="29"/>
      <c r="N5" s="29">
        <f>N4</f>
        <v>2</v>
      </c>
    </row>
    <row r="6" spans="1:14" x14ac:dyDescent="0.45">
      <c r="A6" s="43" cm="1">
        <f t="array" aca="1" ref="A6" ca="1">INDIRECT("合計データ!A"&amp;$H6)</f>
        <v>0</v>
      </c>
      <c r="B6" s="43" t="s">
        <v>44</v>
      </c>
      <c r="C6" s="113" t="e">
        <f ca="1">ROUND(VLOOKUP($A6,INDIRECT($I6&amp;"!"&amp;$J6&amp;":"&amp;$K6),$L6,FALSE)/$H$1,0)</f>
        <v>#N/A</v>
      </c>
      <c r="D6" s="119"/>
      <c r="E6" s="115" t="e">
        <f ca="1">VLOOKUP($A6,INDIRECT($I6&amp;"!"&amp;$J6&amp;":"&amp;$K6),$N6,FALSE)</f>
        <v>#N/A</v>
      </c>
      <c r="H6" s="29">
        <f>H3+1</f>
        <v>12</v>
      </c>
      <c r="I6" t="str">
        <f>I5</f>
        <v>合計データ</v>
      </c>
      <c r="J6" s="29" t="str">
        <f>J5</f>
        <v>A11</v>
      </c>
      <c r="K6" s="29" t="str">
        <f>K5</f>
        <v>F40</v>
      </c>
      <c r="L6" s="29">
        <f>L3</f>
        <v>5</v>
      </c>
      <c r="M6" s="29"/>
      <c r="N6" s="29">
        <f>N5</f>
        <v>2</v>
      </c>
    </row>
    <row r="7" spans="1:14" x14ac:dyDescent="0.45">
      <c r="A7" s="43"/>
      <c r="B7" s="43" t="s">
        <v>43</v>
      </c>
      <c r="C7" s="113" t="e">
        <f ca="1">ROUND(VLOOKUP($A6,INDIRECT($I7&amp;"!"&amp;$J7&amp;":"&amp;$K7),$L7,FALSE)/$H$1,0)</f>
        <v>#N/A</v>
      </c>
      <c r="D7" s="119" t="e">
        <f ca="1">ROUND(VLOOKUP($A6,INDIRECT($I7&amp;"!"&amp;$J7&amp;":"&amp;$K7),$M7,FALSE)/$H$1,0)</f>
        <v>#N/A</v>
      </c>
      <c r="E7" s="115" t="e">
        <f ca="1">VLOOKUP($A6,INDIRECT($I7&amp;"!"&amp;$J7&amp;":"&amp;$K7),$N7,FALSE)</f>
        <v>#N/A</v>
      </c>
      <c r="F7" s="114" t="e">
        <f ca="1">IF(D7=0,"",C7+D7)</f>
        <v>#N/A</v>
      </c>
      <c r="I7" t="str">
        <f>I6</f>
        <v>合計データ</v>
      </c>
      <c r="J7" s="29" t="str">
        <f>J6</f>
        <v>A11</v>
      </c>
      <c r="K7" s="29" t="str">
        <f>K6</f>
        <v>F40</v>
      </c>
      <c r="L7" s="29">
        <f>L4</f>
        <v>4</v>
      </c>
      <c r="M7" s="29">
        <f>M4</f>
        <v>6</v>
      </c>
      <c r="N7" s="29">
        <f>N6</f>
        <v>2</v>
      </c>
    </row>
    <row r="8" spans="1:14" x14ac:dyDescent="0.45">
      <c r="A8" s="43"/>
      <c r="B8" s="43" t="s">
        <v>42</v>
      </c>
      <c r="C8" s="113" t="e">
        <f ca="1">ROUND(VLOOKUP($A6,INDIRECT($I8&amp;"!"&amp;$J8&amp;":"&amp;$K8),$L8,FALSE)/$H$1,0)</f>
        <v>#N/A</v>
      </c>
      <c r="D8" s="119"/>
      <c r="E8" s="115" t="e">
        <f ca="1">VLOOKUP($A6,INDIRECT($I8&amp;"!"&amp;$J8&amp;":"&amp;$K8),$N8,FALSE)</f>
        <v>#N/A</v>
      </c>
      <c r="I8" t="str">
        <f>I7</f>
        <v>合計データ</v>
      </c>
      <c r="J8" s="29" t="str">
        <f>J7</f>
        <v>A11</v>
      </c>
      <c r="K8" s="29" t="str">
        <f>K7</f>
        <v>F40</v>
      </c>
      <c r="L8" s="29">
        <f>L5</f>
        <v>3</v>
      </c>
      <c r="M8" s="29"/>
      <c r="N8" s="29">
        <f>N7</f>
        <v>2</v>
      </c>
    </row>
    <row r="9" spans="1:14" x14ac:dyDescent="0.45">
      <c r="A9" s="43" cm="1">
        <f t="array" aca="1" ref="A9" ca="1">INDIRECT("合計データ!A"&amp;$H9)</f>
        <v>0</v>
      </c>
      <c r="B9" s="43" t="s">
        <v>44</v>
      </c>
      <c r="C9" s="113" t="e">
        <f ca="1">ROUND(VLOOKUP($A9,INDIRECT($I9&amp;"!"&amp;$J9&amp;":"&amp;$K9),$L9,FALSE)/$H$1,0)</f>
        <v>#N/A</v>
      </c>
      <c r="D9" s="119"/>
      <c r="E9" s="115" t="e">
        <f ca="1">VLOOKUP($A9,INDIRECT($I9&amp;"!"&amp;$J9&amp;":"&amp;$K9),$N9,FALSE)</f>
        <v>#N/A</v>
      </c>
      <c r="H9" s="29">
        <f>H6+1</f>
        <v>13</v>
      </c>
      <c r="I9" t="str">
        <f>I8</f>
        <v>合計データ</v>
      </c>
      <c r="J9" s="29" t="str">
        <f>J8</f>
        <v>A11</v>
      </c>
      <c r="K9" s="29" t="str">
        <f>K8</f>
        <v>F40</v>
      </c>
      <c r="L9" s="29">
        <f>L6</f>
        <v>5</v>
      </c>
      <c r="M9" s="29"/>
      <c r="N9" s="29">
        <f>N8</f>
        <v>2</v>
      </c>
    </row>
    <row r="10" spans="1:14" x14ac:dyDescent="0.45">
      <c r="A10" s="43"/>
      <c r="B10" s="43" t="s">
        <v>43</v>
      </c>
      <c r="C10" s="113" t="e">
        <f ca="1">ROUND(VLOOKUP($A9,INDIRECT($I10&amp;"!"&amp;$J10&amp;":"&amp;$K10),$L10,FALSE)/$H$1,0)</f>
        <v>#N/A</v>
      </c>
      <c r="D10" s="119" t="e">
        <f ca="1">ROUND(VLOOKUP($A9,INDIRECT($I10&amp;"!"&amp;$J10&amp;":"&amp;$K10),$M10,FALSE)/$H$1,0)</f>
        <v>#N/A</v>
      </c>
      <c r="E10" s="115" t="e">
        <f ca="1">VLOOKUP($A9,INDIRECT($I10&amp;"!"&amp;$J10&amp;":"&amp;$K10),$N10,FALSE)</f>
        <v>#N/A</v>
      </c>
      <c r="F10" s="114" t="e">
        <f ca="1">IF(D10=0,"",C10+D10)</f>
        <v>#N/A</v>
      </c>
      <c r="I10" t="str">
        <f>I9</f>
        <v>合計データ</v>
      </c>
      <c r="J10" s="29" t="str">
        <f>J9</f>
        <v>A11</v>
      </c>
      <c r="K10" s="29" t="str">
        <f>K9</f>
        <v>F40</v>
      </c>
      <c r="L10" s="29">
        <f>L7</f>
        <v>4</v>
      </c>
      <c r="M10" s="29">
        <f>M7</f>
        <v>6</v>
      </c>
      <c r="N10" s="29">
        <f>N9</f>
        <v>2</v>
      </c>
    </row>
    <row r="11" spans="1:14" x14ac:dyDescent="0.45">
      <c r="A11" s="43"/>
      <c r="B11" s="43" t="s">
        <v>42</v>
      </c>
      <c r="C11" s="113" t="e">
        <f ca="1">ROUND(VLOOKUP($A9,INDIRECT($I11&amp;"!"&amp;$J11&amp;":"&amp;$K11),$L11,FALSE)/$H$1,0)</f>
        <v>#N/A</v>
      </c>
      <c r="D11" s="119"/>
      <c r="E11" s="115" t="e">
        <f ca="1">VLOOKUP($A9,INDIRECT($I11&amp;"!"&amp;$J11&amp;":"&amp;$K11),$N11,FALSE)</f>
        <v>#N/A</v>
      </c>
      <c r="I11" t="str">
        <f>I10</f>
        <v>合計データ</v>
      </c>
      <c r="J11" s="29" t="str">
        <f>J10</f>
        <v>A11</v>
      </c>
      <c r="K11" s="29" t="str">
        <f>K10</f>
        <v>F40</v>
      </c>
      <c r="L11" s="29">
        <f>L8</f>
        <v>3</v>
      </c>
      <c r="M11" s="29"/>
      <c r="N11" s="29">
        <f>N10</f>
        <v>2</v>
      </c>
    </row>
    <row r="12" spans="1:14" x14ac:dyDescent="0.45">
      <c r="A12" s="43" cm="1">
        <f t="array" aca="1" ref="A12" ca="1">INDIRECT("合計データ!A"&amp;$H12)</f>
        <v>0</v>
      </c>
      <c r="B12" s="43" t="s">
        <v>44</v>
      </c>
      <c r="C12" s="113" t="e">
        <f ca="1">ROUND(VLOOKUP($A12,INDIRECT($I12&amp;"!"&amp;$J12&amp;":"&amp;$K12),$L12,FALSE)/$H$1,0)</f>
        <v>#N/A</v>
      </c>
      <c r="D12" s="119"/>
      <c r="E12" s="115" t="e">
        <f ca="1">VLOOKUP($A12,INDIRECT($I12&amp;"!"&amp;$J12&amp;":"&amp;$K12),$N12,FALSE)</f>
        <v>#N/A</v>
      </c>
      <c r="H12" s="29">
        <f>H9+1</f>
        <v>14</v>
      </c>
      <c r="I12" t="str">
        <f>I11</f>
        <v>合計データ</v>
      </c>
      <c r="J12" s="29" t="str">
        <f>J11</f>
        <v>A11</v>
      </c>
      <c r="K12" s="29" t="str">
        <f>K11</f>
        <v>F40</v>
      </c>
      <c r="L12" s="29">
        <f>L9</f>
        <v>5</v>
      </c>
      <c r="M12" s="29"/>
      <c r="N12" s="29">
        <f>N11</f>
        <v>2</v>
      </c>
    </row>
    <row r="13" spans="1:14" x14ac:dyDescent="0.45">
      <c r="A13" s="43"/>
      <c r="B13" s="43" t="s">
        <v>43</v>
      </c>
      <c r="C13" s="113" t="e">
        <f ca="1">ROUND(VLOOKUP($A12,INDIRECT($I13&amp;"!"&amp;$J13&amp;":"&amp;$K13),$L13,FALSE)/$H$1,0)</f>
        <v>#N/A</v>
      </c>
      <c r="D13" s="119" t="e">
        <f ca="1">ROUND(VLOOKUP($A12,INDIRECT($I13&amp;"!"&amp;$J13&amp;":"&amp;$K13),$M13,FALSE)/$H$1,0)</f>
        <v>#N/A</v>
      </c>
      <c r="E13" s="115" t="e">
        <f ca="1">VLOOKUP($A12,INDIRECT($I13&amp;"!"&amp;$J13&amp;":"&amp;$K13),$N13,FALSE)</f>
        <v>#N/A</v>
      </c>
      <c r="F13" s="114" t="e">
        <f ca="1">IF(D13=0,"",C13+D13)</f>
        <v>#N/A</v>
      </c>
      <c r="I13" t="str">
        <f>I12</f>
        <v>合計データ</v>
      </c>
      <c r="J13" s="29" t="str">
        <f>J12</f>
        <v>A11</v>
      </c>
      <c r="K13" s="29" t="str">
        <f>K12</f>
        <v>F40</v>
      </c>
      <c r="L13" s="29">
        <f>L10</f>
        <v>4</v>
      </c>
      <c r="M13" s="29">
        <f>M10</f>
        <v>6</v>
      </c>
      <c r="N13" s="29">
        <f>N12</f>
        <v>2</v>
      </c>
    </row>
    <row r="14" spans="1:14" x14ac:dyDescent="0.45">
      <c r="A14" s="43"/>
      <c r="B14" s="43" t="s">
        <v>42</v>
      </c>
      <c r="C14" s="113" t="e">
        <f ca="1">ROUND(VLOOKUP($A12,INDIRECT($I14&amp;"!"&amp;$J14&amp;":"&amp;$K14),$L14,FALSE)/$H$1,0)</f>
        <v>#N/A</v>
      </c>
      <c r="D14" s="119"/>
      <c r="E14" s="115" t="e">
        <f ca="1">VLOOKUP($A12,INDIRECT($I14&amp;"!"&amp;$J14&amp;":"&amp;$K14),$N14,FALSE)</f>
        <v>#N/A</v>
      </c>
      <c r="I14" t="str">
        <f>I13</f>
        <v>合計データ</v>
      </c>
      <c r="J14" s="29" t="str">
        <f>J13</f>
        <v>A11</v>
      </c>
      <c r="K14" s="29" t="str">
        <f>K13</f>
        <v>F40</v>
      </c>
      <c r="L14" s="29">
        <f>L11</f>
        <v>3</v>
      </c>
      <c r="M14" s="29"/>
      <c r="N14" s="29">
        <f>N13</f>
        <v>2</v>
      </c>
    </row>
    <row r="15" spans="1:14" x14ac:dyDescent="0.45">
      <c r="A15" s="43" cm="1">
        <f t="array" aca="1" ref="A15" ca="1">INDIRECT("合計データ!A"&amp;$H15)</f>
        <v>0</v>
      </c>
      <c r="B15" s="43" t="s">
        <v>44</v>
      </c>
      <c r="C15" s="113" t="e">
        <f ca="1">ROUND(VLOOKUP($A15,INDIRECT($I15&amp;"!"&amp;$J15&amp;":"&amp;$K15),$L15,FALSE)/$H$1,0)</f>
        <v>#N/A</v>
      </c>
      <c r="D15" s="119"/>
      <c r="E15" s="115" t="e">
        <f ca="1">VLOOKUP($A15,INDIRECT($I15&amp;"!"&amp;$J15&amp;":"&amp;$K15),$N15,FALSE)</f>
        <v>#N/A</v>
      </c>
      <c r="H15" s="29">
        <f>H12+1</f>
        <v>15</v>
      </c>
      <c r="I15" t="str">
        <f>I14</f>
        <v>合計データ</v>
      </c>
      <c r="J15" s="29" t="str">
        <f>J14</f>
        <v>A11</v>
      </c>
      <c r="K15" s="29" t="str">
        <f>K14</f>
        <v>F40</v>
      </c>
      <c r="L15" s="29">
        <f>L12</f>
        <v>5</v>
      </c>
      <c r="M15" s="29"/>
      <c r="N15" s="29">
        <f>N14</f>
        <v>2</v>
      </c>
    </row>
    <row r="16" spans="1:14" x14ac:dyDescent="0.45">
      <c r="A16" s="43"/>
      <c r="B16" s="43" t="s">
        <v>43</v>
      </c>
      <c r="C16" s="113" t="e">
        <f ca="1">ROUND(VLOOKUP($A15,INDIRECT($I16&amp;"!"&amp;$J16&amp;":"&amp;$K16),$L16,FALSE)/$H$1,0)</f>
        <v>#N/A</v>
      </c>
      <c r="D16" s="119" t="e">
        <f ca="1">ROUND(VLOOKUP($A15,INDIRECT($I16&amp;"!"&amp;$J16&amp;":"&amp;$K16),$M16,FALSE)/$H$1,0)</f>
        <v>#N/A</v>
      </c>
      <c r="E16" s="115" t="e">
        <f ca="1">VLOOKUP($A15,INDIRECT($I16&amp;"!"&amp;$J16&amp;":"&amp;$K16),$N16,FALSE)</f>
        <v>#N/A</v>
      </c>
      <c r="F16" s="114" t="e">
        <f ca="1">IF(D16=0,"",C16+D16)</f>
        <v>#N/A</v>
      </c>
      <c r="I16" t="str">
        <f>I15</f>
        <v>合計データ</v>
      </c>
      <c r="J16" s="29" t="str">
        <f>J15</f>
        <v>A11</v>
      </c>
      <c r="K16" s="29" t="str">
        <f>K15</f>
        <v>F40</v>
      </c>
      <c r="L16" s="29">
        <f>L13</f>
        <v>4</v>
      </c>
      <c r="M16" s="29">
        <f>M13</f>
        <v>6</v>
      </c>
      <c r="N16" s="29">
        <f>N15</f>
        <v>2</v>
      </c>
    </row>
    <row r="17" spans="1:14" x14ac:dyDescent="0.45">
      <c r="A17" s="43"/>
      <c r="B17" s="43" t="s">
        <v>42</v>
      </c>
      <c r="C17" s="113" t="e">
        <f ca="1">ROUND(VLOOKUP($A15,INDIRECT($I17&amp;"!"&amp;$J17&amp;":"&amp;$K17),$L17,FALSE)/$H$1,0)</f>
        <v>#N/A</v>
      </c>
      <c r="D17" s="119"/>
      <c r="E17" s="115" t="e">
        <f ca="1">VLOOKUP($A15,INDIRECT($I17&amp;"!"&amp;$J17&amp;":"&amp;$K17),$N17,FALSE)</f>
        <v>#N/A</v>
      </c>
      <c r="I17" t="str">
        <f>I16</f>
        <v>合計データ</v>
      </c>
      <c r="J17" s="29" t="str">
        <f>J16</f>
        <v>A11</v>
      </c>
      <c r="K17" s="29" t="str">
        <f>K16</f>
        <v>F40</v>
      </c>
      <c r="L17" s="29">
        <f>L14</f>
        <v>3</v>
      </c>
      <c r="M17" s="29"/>
      <c r="N17" s="29">
        <f>N16</f>
        <v>2</v>
      </c>
    </row>
    <row r="18" spans="1:14" x14ac:dyDescent="0.45">
      <c r="A18" s="43" cm="1">
        <f t="array" aca="1" ref="A18" ca="1">INDIRECT("合計データ!A"&amp;$H18)</f>
        <v>0</v>
      </c>
      <c r="B18" s="43" t="s">
        <v>44</v>
      </c>
      <c r="C18" s="113" t="e">
        <f ca="1">ROUND(VLOOKUP($A18,INDIRECT($I18&amp;"!"&amp;$J18&amp;":"&amp;$K18),$L18,FALSE)/$H$1,0)</f>
        <v>#N/A</v>
      </c>
      <c r="D18" s="119"/>
      <c r="E18" s="115" t="e">
        <f ca="1">VLOOKUP($A18,INDIRECT($I18&amp;"!"&amp;$J18&amp;":"&amp;$K18),$N18,FALSE)</f>
        <v>#N/A</v>
      </c>
      <c r="H18" s="29">
        <f>H15+1</f>
        <v>16</v>
      </c>
      <c r="I18" t="str">
        <f>I17</f>
        <v>合計データ</v>
      </c>
      <c r="J18" s="29" t="str">
        <f>J17</f>
        <v>A11</v>
      </c>
      <c r="K18" s="29" t="str">
        <f>K17</f>
        <v>F40</v>
      </c>
      <c r="L18" s="29">
        <f>L15</f>
        <v>5</v>
      </c>
      <c r="M18" s="29"/>
      <c r="N18" s="29">
        <f>N17</f>
        <v>2</v>
      </c>
    </row>
    <row r="19" spans="1:14" x14ac:dyDescent="0.45">
      <c r="A19" s="43"/>
      <c r="B19" s="43" t="s">
        <v>43</v>
      </c>
      <c r="C19" s="113" t="e">
        <f ca="1">ROUND(VLOOKUP($A18,INDIRECT($I19&amp;"!"&amp;$J19&amp;":"&amp;$K19),$L19,FALSE)/$H$1,0)</f>
        <v>#N/A</v>
      </c>
      <c r="D19" s="119" t="e">
        <f ca="1">ROUND(VLOOKUP($A18,INDIRECT($I19&amp;"!"&amp;$J19&amp;":"&amp;$K19),$M19,FALSE)/$H$1,0)</f>
        <v>#N/A</v>
      </c>
      <c r="E19" s="115" t="e">
        <f ca="1">VLOOKUP($A18,INDIRECT($I19&amp;"!"&amp;$J19&amp;":"&amp;$K19),$N19,FALSE)</f>
        <v>#N/A</v>
      </c>
      <c r="F19" s="114" t="e">
        <f ca="1">IF(D19=0,"",C19+D19)</f>
        <v>#N/A</v>
      </c>
      <c r="I19" t="str">
        <f>I18</f>
        <v>合計データ</v>
      </c>
      <c r="J19" s="29" t="str">
        <f>J18</f>
        <v>A11</v>
      </c>
      <c r="K19" s="29" t="str">
        <f>K18</f>
        <v>F40</v>
      </c>
      <c r="L19" s="29">
        <f>L16</f>
        <v>4</v>
      </c>
      <c r="M19" s="29">
        <f>M16</f>
        <v>6</v>
      </c>
      <c r="N19" s="29">
        <f>N18</f>
        <v>2</v>
      </c>
    </row>
    <row r="20" spans="1:14" x14ac:dyDescent="0.45">
      <c r="A20" s="43"/>
      <c r="B20" s="43" t="s">
        <v>42</v>
      </c>
      <c r="C20" s="113" t="e">
        <f ca="1">ROUND(VLOOKUP($A18,INDIRECT($I20&amp;"!"&amp;$J20&amp;":"&amp;$K20),$L20,FALSE)/$H$1,0)</f>
        <v>#N/A</v>
      </c>
      <c r="D20" s="119"/>
      <c r="E20" s="115" t="e">
        <f ca="1">VLOOKUP($A18,INDIRECT($I20&amp;"!"&amp;$J20&amp;":"&amp;$K20),$N20,FALSE)</f>
        <v>#N/A</v>
      </c>
      <c r="I20" t="str">
        <f>I19</f>
        <v>合計データ</v>
      </c>
      <c r="J20" s="29" t="str">
        <f>J19</f>
        <v>A11</v>
      </c>
      <c r="K20" s="29" t="str">
        <f>K19</f>
        <v>F40</v>
      </c>
      <c r="L20" s="29">
        <f>L17</f>
        <v>3</v>
      </c>
      <c r="M20" s="29"/>
      <c r="N20" s="29">
        <f>N19</f>
        <v>2</v>
      </c>
    </row>
    <row r="21" spans="1:14" x14ac:dyDescent="0.45">
      <c r="A21" s="43" cm="1">
        <f t="array" aca="1" ref="A21" ca="1">INDIRECT("合計データ!A"&amp;$H21)</f>
        <v>0</v>
      </c>
      <c r="B21" s="43" t="s">
        <v>44</v>
      </c>
      <c r="C21" s="113" t="e">
        <f ca="1">ROUND(VLOOKUP($A21,INDIRECT($I21&amp;"!"&amp;$J21&amp;":"&amp;$K21),$L21,FALSE)/$H$1,0)</f>
        <v>#N/A</v>
      </c>
      <c r="D21" s="119"/>
      <c r="E21" s="115" t="e">
        <f ca="1">VLOOKUP($A21,INDIRECT($I21&amp;"!"&amp;$J21&amp;":"&amp;$K21),$N21,FALSE)</f>
        <v>#N/A</v>
      </c>
      <c r="H21" s="29">
        <f>H18+1</f>
        <v>17</v>
      </c>
      <c r="I21" t="str">
        <f>I20</f>
        <v>合計データ</v>
      </c>
      <c r="J21" s="29" t="str">
        <f>J20</f>
        <v>A11</v>
      </c>
      <c r="K21" s="29" t="str">
        <f>K20</f>
        <v>F40</v>
      </c>
      <c r="L21" s="29">
        <f>L18</f>
        <v>5</v>
      </c>
      <c r="M21" s="29"/>
      <c r="N21" s="29">
        <f>N20</f>
        <v>2</v>
      </c>
    </row>
    <row r="22" spans="1:14" x14ac:dyDescent="0.45">
      <c r="A22" s="43"/>
      <c r="B22" s="43" t="s">
        <v>43</v>
      </c>
      <c r="C22" s="113" t="e">
        <f ca="1">ROUND(VLOOKUP($A21,INDIRECT($I22&amp;"!"&amp;$J22&amp;":"&amp;$K22),$L22,FALSE)/$H$1,0)</f>
        <v>#N/A</v>
      </c>
      <c r="D22" s="119" t="e">
        <f ca="1">ROUND(VLOOKUP($A21,INDIRECT($I22&amp;"!"&amp;$J22&amp;":"&amp;$K22),$M22,FALSE)/$H$1,0)</f>
        <v>#N/A</v>
      </c>
      <c r="E22" s="115" t="e">
        <f ca="1">VLOOKUP($A21,INDIRECT($I22&amp;"!"&amp;$J22&amp;":"&amp;$K22),$N22,FALSE)</f>
        <v>#N/A</v>
      </c>
      <c r="F22" s="114" t="e">
        <f ca="1">IF(D22=0,"",C22+D22)</f>
        <v>#N/A</v>
      </c>
      <c r="I22" t="str">
        <f>I21</f>
        <v>合計データ</v>
      </c>
      <c r="J22" s="29" t="str">
        <f>J21</f>
        <v>A11</v>
      </c>
      <c r="K22" s="29" t="str">
        <f>K21</f>
        <v>F40</v>
      </c>
      <c r="L22" s="29">
        <f>L19</f>
        <v>4</v>
      </c>
      <c r="M22" s="29">
        <f>M19</f>
        <v>6</v>
      </c>
      <c r="N22" s="29">
        <f>N21</f>
        <v>2</v>
      </c>
    </row>
    <row r="23" spans="1:14" x14ac:dyDescent="0.45">
      <c r="A23" s="43"/>
      <c r="B23" s="43" t="s">
        <v>42</v>
      </c>
      <c r="C23" s="113" t="e">
        <f ca="1">ROUND(VLOOKUP($A21,INDIRECT($I23&amp;"!"&amp;$J23&amp;":"&amp;$K23),$L23,FALSE)/$H$1,0)</f>
        <v>#N/A</v>
      </c>
      <c r="D23" s="119"/>
      <c r="E23" s="115" t="e">
        <f ca="1">VLOOKUP($A21,INDIRECT($I23&amp;"!"&amp;$J23&amp;":"&amp;$K23),$N23,FALSE)</f>
        <v>#N/A</v>
      </c>
      <c r="I23" t="str">
        <f>I22</f>
        <v>合計データ</v>
      </c>
      <c r="J23" s="29" t="str">
        <f>J22</f>
        <v>A11</v>
      </c>
      <c r="K23" s="29" t="str">
        <f>K22</f>
        <v>F40</v>
      </c>
      <c r="L23" s="29">
        <f>L20</f>
        <v>3</v>
      </c>
      <c r="M23" s="29"/>
      <c r="N23" s="29">
        <f>N22</f>
        <v>2</v>
      </c>
    </row>
    <row r="24" spans="1:14" x14ac:dyDescent="0.45">
      <c r="A24" s="43" cm="1">
        <f t="array" aca="1" ref="A24" ca="1">INDIRECT("合計データ!A"&amp;$H24)</f>
        <v>0</v>
      </c>
      <c r="B24" s="43" t="s">
        <v>44</v>
      </c>
      <c r="C24" s="113" t="e">
        <f ca="1">ROUND(VLOOKUP($A24,INDIRECT($I24&amp;"!"&amp;$J24&amp;":"&amp;$K24),$L24,FALSE)/$H$1,0)</f>
        <v>#N/A</v>
      </c>
      <c r="D24" s="119"/>
      <c r="E24" s="115" t="e">
        <f ca="1">VLOOKUP($A24,INDIRECT($I24&amp;"!"&amp;$J24&amp;":"&amp;$K24),$N24,FALSE)</f>
        <v>#N/A</v>
      </c>
      <c r="H24" s="29">
        <f>H21+1</f>
        <v>18</v>
      </c>
      <c r="I24" t="str">
        <f>I23</f>
        <v>合計データ</v>
      </c>
      <c r="J24" s="29" t="str">
        <f>J23</f>
        <v>A11</v>
      </c>
      <c r="K24" s="29" t="str">
        <f>K23</f>
        <v>F40</v>
      </c>
      <c r="L24" s="29">
        <f>L21</f>
        <v>5</v>
      </c>
      <c r="M24" s="29"/>
      <c r="N24" s="29">
        <f>N23</f>
        <v>2</v>
      </c>
    </row>
    <row r="25" spans="1:14" x14ac:dyDescent="0.45">
      <c r="A25" s="43"/>
      <c r="B25" s="43" t="s">
        <v>43</v>
      </c>
      <c r="C25" s="113" t="e">
        <f ca="1">ROUND(VLOOKUP($A24,INDIRECT($I25&amp;"!"&amp;$J25&amp;":"&amp;$K25),$L25,FALSE)/$H$1,0)</f>
        <v>#N/A</v>
      </c>
      <c r="D25" s="119" t="e">
        <f ca="1">ROUND(VLOOKUP($A24,INDIRECT($I25&amp;"!"&amp;$J25&amp;":"&amp;$K25),$M25,FALSE)/$H$1,0)</f>
        <v>#N/A</v>
      </c>
      <c r="E25" s="115" t="e">
        <f ca="1">VLOOKUP($A24,INDIRECT($I25&amp;"!"&amp;$J25&amp;":"&amp;$K25),$N25,FALSE)</f>
        <v>#N/A</v>
      </c>
      <c r="F25" s="114" t="e">
        <f ca="1">IF(D25=0,"",C25+D25)</f>
        <v>#N/A</v>
      </c>
      <c r="I25" t="str">
        <f>I24</f>
        <v>合計データ</v>
      </c>
      <c r="J25" s="29" t="str">
        <f>J24</f>
        <v>A11</v>
      </c>
      <c r="K25" s="29" t="str">
        <f>K24</f>
        <v>F40</v>
      </c>
      <c r="L25" s="29">
        <f>L22</f>
        <v>4</v>
      </c>
      <c r="M25" s="29">
        <f>M22</f>
        <v>6</v>
      </c>
      <c r="N25" s="29">
        <f>N24</f>
        <v>2</v>
      </c>
    </row>
    <row r="26" spans="1:14" x14ac:dyDescent="0.45">
      <c r="A26" s="43"/>
      <c r="B26" s="43" t="s">
        <v>42</v>
      </c>
      <c r="C26" s="113" t="e">
        <f ca="1">ROUND(VLOOKUP($A24,INDIRECT($I26&amp;"!"&amp;$J26&amp;":"&amp;$K26),$L26,FALSE)/$H$1,0)</f>
        <v>#N/A</v>
      </c>
      <c r="D26" s="119"/>
      <c r="E26" s="115" t="e">
        <f ca="1">VLOOKUP($A24,INDIRECT($I26&amp;"!"&amp;$J26&amp;":"&amp;$K26),$N26,FALSE)</f>
        <v>#N/A</v>
      </c>
      <c r="I26" t="str">
        <f>I25</f>
        <v>合計データ</v>
      </c>
      <c r="J26" s="29" t="str">
        <f>J25</f>
        <v>A11</v>
      </c>
      <c r="K26" s="29" t="str">
        <f>K25</f>
        <v>F40</v>
      </c>
      <c r="L26" s="29">
        <f>L23</f>
        <v>3</v>
      </c>
      <c r="M26" s="29"/>
      <c r="N26" s="29">
        <f>N25</f>
        <v>2</v>
      </c>
    </row>
    <row r="27" spans="1:14" x14ac:dyDescent="0.45">
      <c r="A27" s="43" cm="1">
        <f t="array" aca="1" ref="A27" ca="1">INDIRECT("合計データ!A"&amp;$H27)</f>
        <v>0</v>
      </c>
      <c r="B27" s="43" t="s">
        <v>44</v>
      </c>
      <c r="C27" s="113" t="e">
        <f ca="1">ROUND(VLOOKUP($A27,INDIRECT($I27&amp;"!"&amp;$J27&amp;":"&amp;$K27),$L27,FALSE)/$H$1,0)</f>
        <v>#N/A</v>
      </c>
      <c r="D27" s="119"/>
      <c r="E27" s="115" t="e">
        <f ca="1">VLOOKUP($A27,INDIRECT($I27&amp;"!"&amp;$J27&amp;":"&amp;$K27),$N27,FALSE)</f>
        <v>#N/A</v>
      </c>
      <c r="H27" s="29">
        <f>H24+1</f>
        <v>19</v>
      </c>
      <c r="I27" t="str">
        <f>I26</f>
        <v>合計データ</v>
      </c>
      <c r="J27" s="29" t="str">
        <f>J26</f>
        <v>A11</v>
      </c>
      <c r="K27" s="29" t="str">
        <f>K26</f>
        <v>F40</v>
      </c>
      <c r="L27" s="29">
        <f>L24</f>
        <v>5</v>
      </c>
      <c r="M27" s="29"/>
      <c r="N27" s="29">
        <f>N26</f>
        <v>2</v>
      </c>
    </row>
    <row r="28" spans="1:14" x14ac:dyDescent="0.45">
      <c r="A28" s="43"/>
      <c r="B28" s="43" t="s">
        <v>43</v>
      </c>
      <c r="C28" s="113" t="e">
        <f ca="1">ROUND(VLOOKUP($A27,INDIRECT($I28&amp;"!"&amp;$J28&amp;":"&amp;$K28),$L28,FALSE)/$H$1,0)</f>
        <v>#N/A</v>
      </c>
      <c r="D28" s="119" t="e">
        <f ca="1">ROUND(VLOOKUP($A27,INDIRECT($I28&amp;"!"&amp;$J28&amp;":"&amp;$K28),$M28,FALSE)/$H$1,0)</f>
        <v>#N/A</v>
      </c>
      <c r="E28" s="115" t="e">
        <f ca="1">VLOOKUP($A27,INDIRECT($I28&amp;"!"&amp;$J28&amp;":"&amp;$K28),$N28,FALSE)</f>
        <v>#N/A</v>
      </c>
      <c r="F28" s="114" t="e">
        <f ca="1">IF(D28=0,"",C28+D28)</f>
        <v>#N/A</v>
      </c>
      <c r="I28" t="str">
        <f>I27</f>
        <v>合計データ</v>
      </c>
      <c r="J28" s="29" t="str">
        <f>J27</f>
        <v>A11</v>
      </c>
      <c r="K28" s="29" t="str">
        <f>K27</f>
        <v>F40</v>
      </c>
      <c r="L28" s="29">
        <f>L25</f>
        <v>4</v>
      </c>
      <c r="M28" s="29">
        <f>M25</f>
        <v>6</v>
      </c>
      <c r="N28" s="29">
        <f>N27</f>
        <v>2</v>
      </c>
    </row>
    <row r="29" spans="1:14" x14ac:dyDescent="0.45">
      <c r="A29" s="43"/>
      <c r="B29" s="43" t="s">
        <v>42</v>
      </c>
      <c r="C29" s="113" t="e">
        <f ca="1">ROUND(VLOOKUP($A27,INDIRECT($I29&amp;"!"&amp;$J29&amp;":"&amp;$K29),$L29,FALSE)/$H$1,0)</f>
        <v>#N/A</v>
      </c>
      <c r="D29" s="119"/>
      <c r="E29" s="115" t="e">
        <f ca="1">VLOOKUP($A27,INDIRECT($I29&amp;"!"&amp;$J29&amp;":"&amp;$K29),$N29,FALSE)</f>
        <v>#N/A</v>
      </c>
      <c r="I29" t="str">
        <f>I28</f>
        <v>合計データ</v>
      </c>
      <c r="J29" s="29" t="str">
        <f>J28</f>
        <v>A11</v>
      </c>
      <c r="K29" s="29" t="str">
        <f>K28</f>
        <v>F40</v>
      </c>
      <c r="L29" s="29">
        <f>L26</f>
        <v>3</v>
      </c>
      <c r="M29" s="29"/>
      <c r="N29" s="29">
        <f>N28</f>
        <v>2</v>
      </c>
    </row>
    <row r="30" spans="1:14" x14ac:dyDescent="0.45">
      <c r="A30" s="43" cm="1">
        <f t="array" aca="1" ref="A30" ca="1">INDIRECT("合計データ!A"&amp;$H30)</f>
        <v>0</v>
      </c>
      <c r="B30" s="43" t="s">
        <v>44</v>
      </c>
      <c r="C30" s="113" t="e">
        <f ca="1">ROUND(VLOOKUP($A30,INDIRECT($I30&amp;"!"&amp;$J30&amp;":"&amp;$K30),$L30,FALSE)/$H$1,0)</f>
        <v>#N/A</v>
      </c>
      <c r="D30" s="119"/>
      <c r="E30" s="115" t="e">
        <f ca="1">VLOOKUP($A30,INDIRECT($I30&amp;"!"&amp;$J30&amp;":"&amp;$K30),$N30,FALSE)</f>
        <v>#N/A</v>
      </c>
      <c r="H30" s="29">
        <f>H27+1</f>
        <v>20</v>
      </c>
      <c r="I30" t="str">
        <f>I29</f>
        <v>合計データ</v>
      </c>
      <c r="J30" s="29" t="str">
        <f>J29</f>
        <v>A11</v>
      </c>
      <c r="K30" s="29" t="str">
        <f>K29</f>
        <v>F40</v>
      </c>
      <c r="L30" s="29">
        <f>L27</f>
        <v>5</v>
      </c>
      <c r="M30" s="29"/>
      <c r="N30" s="29">
        <f>N29</f>
        <v>2</v>
      </c>
    </row>
    <row r="31" spans="1:14" x14ac:dyDescent="0.45">
      <c r="A31" s="43"/>
      <c r="B31" s="43" t="s">
        <v>43</v>
      </c>
      <c r="C31" s="113" t="e">
        <f ca="1">ROUND(VLOOKUP($A30,INDIRECT($I31&amp;"!"&amp;$J31&amp;":"&amp;$K31),$L31,FALSE)/$H$1,0)</f>
        <v>#N/A</v>
      </c>
      <c r="D31" s="119" t="e">
        <f ca="1">ROUND(VLOOKUP($A30,INDIRECT($I31&amp;"!"&amp;$J31&amp;":"&amp;$K31),$M31,FALSE)/$H$1,0)</f>
        <v>#N/A</v>
      </c>
      <c r="E31" s="115" t="e">
        <f ca="1">VLOOKUP($A30,INDIRECT($I31&amp;"!"&amp;$J31&amp;":"&amp;$K31),$N31,FALSE)</f>
        <v>#N/A</v>
      </c>
      <c r="F31" s="114" t="e">
        <f ca="1">IF(D31=0,"",C31+D31)</f>
        <v>#N/A</v>
      </c>
      <c r="I31" t="str">
        <f>I30</f>
        <v>合計データ</v>
      </c>
      <c r="J31" s="29" t="str">
        <f>J30</f>
        <v>A11</v>
      </c>
      <c r="K31" s="29" t="str">
        <f>K30</f>
        <v>F40</v>
      </c>
      <c r="L31" s="29">
        <f>L28</f>
        <v>4</v>
      </c>
      <c r="M31" s="29">
        <f>M28</f>
        <v>6</v>
      </c>
      <c r="N31" s="29">
        <f>N30</f>
        <v>2</v>
      </c>
    </row>
    <row r="32" spans="1:14" x14ac:dyDescent="0.45">
      <c r="A32" s="43"/>
      <c r="B32" s="43" t="s">
        <v>42</v>
      </c>
      <c r="C32" s="113" t="e">
        <f ca="1">ROUND(VLOOKUP($A30,INDIRECT($I32&amp;"!"&amp;$J32&amp;":"&amp;$K32),$L32,FALSE)/$H$1,0)</f>
        <v>#N/A</v>
      </c>
      <c r="D32" s="119"/>
      <c r="E32" s="115" t="e">
        <f ca="1">VLOOKUP($A30,INDIRECT($I32&amp;"!"&amp;$J32&amp;":"&amp;$K32),$N32,FALSE)</f>
        <v>#N/A</v>
      </c>
      <c r="I32" t="str">
        <f>I31</f>
        <v>合計データ</v>
      </c>
      <c r="J32" s="29" t="str">
        <f>J31</f>
        <v>A11</v>
      </c>
      <c r="K32" s="29" t="str">
        <f>K31</f>
        <v>F40</v>
      </c>
      <c r="L32" s="29">
        <f>L29</f>
        <v>3</v>
      </c>
      <c r="M32" s="29"/>
      <c r="N32" s="29">
        <f>N31</f>
        <v>2</v>
      </c>
    </row>
    <row r="33" spans="1:14" x14ac:dyDescent="0.45">
      <c r="A33" s="43" cm="1">
        <f t="array" aca="1" ref="A33" ca="1">INDIRECT("合計データ!A"&amp;$H33)</f>
        <v>0</v>
      </c>
      <c r="B33" s="43" t="s">
        <v>44</v>
      </c>
      <c r="C33" s="113" t="e">
        <f ca="1">ROUND(VLOOKUP($A33,INDIRECT($I33&amp;"!"&amp;$J33&amp;":"&amp;$K33),$L33,FALSE)/$H$1,0)</f>
        <v>#N/A</v>
      </c>
      <c r="D33" s="119"/>
      <c r="E33" s="115" t="e">
        <f ca="1">VLOOKUP($A33,INDIRECT($I33&amp;"!"&amp;$J33&amp;":"&amp;$K33),$N33,FALSE)</f>
        <v>#N/A</v>
      </c>
      <c r="H33" s="29">
        <f>H30+1</f>
        <v>21</v>
      </c>
      <c r="I33" t="str">
        <f>I32</f>
        <v>合計データ</v>
      </c>
      <c r="J33" s="29" t="str">
        <f>J32</f>
        <v>A11</v>
      </c>
      <c r="K33" s="29" t="str">
        <f>K32</f>
        <v>F40</v>
      </c>
      <c r="L33" s="29">
        <f>L30</f>
        <v>5</v>
      </c>
      <c r="M33" s="29"/>
      <c r="N33" s="29">
        <f>N32</f>
        <v>2</v>
      </c>
    </row>
    <row r="34" spans="1:14" x14ac:dyDescent="0.45">
      <c r="A34" s="43"/>
      <c r="B34" s="43" t="s">
        <v>43</v>
      </c>
      <c r="C34" s="113" t="e">
        <f ca="1">ROUND(VLOOKUP($A33,INDIRECT($I34&amp;"!"&amp;$J34&amp;":"&amp;$K34),$L34,FALSE)/$H$1,0)</f>
        <v>#N/A</v>
      </c>
      <c r="D34" s="119" t="e">
        <f ca="1">ROUND(VLOOKUP($A33,INDIRECT($I34&amp;"!"&amp;$J34&amp;":"&amp;$K34),$M34,FALSE)/$H$1,0)</f>
        <v>#N/A</v>
      </c>
      <c r="E34" s="115" t="e">
        <f ca="1">VLOOKUP($A33,INDIRECT($I34&amp;"!"&amp;$J34&amp;":"&amp;$K34),$N34,FALSE)</f>
        <v>#N/A</v>
      </c>
      <c r="F34" s="114" t="e">
        <f ca="1">IF(D34=0,"",C34+D34)</f>
        <v>#N/A</v>
      </c>
      <c r="I34" t="str">
        <f>I33</f>
        <v>合計データ</v>
      </c>
      <c r="J34" s="29" t="str">
        <f>J33</f>
        <v>A11</v>
      </c>
      <c r="K34" s="29" t="str">
        <f>K33</f>
        <v>F40</v>
      </c>
      <c r="L34" s="29">
        <f>L31</f>
        <v>4</v>
      </c>
      <c r="M34" s="29">
        <f>M31</f>
        <v>6</v>
      </c>
      <c r="N34" s="29">
        <f>N33</f>
        <v>2</v>
      </c>
    </row>
    <row r="35" spans="1:14" x14ac:dyDescent="0.45">
      <c r="A35" s="43"/>
      <c r="B35" s="43" t="s">
        <v>42</v>
      </c>
      <c r="C35" s="113" t="e">
        <f ca="1">ROUND(VLOOKUP($A33,INDIRECT($I35&amp;"!"&amp;$J35&amp;":"&amp;$K35),$L35,FALSE)/$H$1,0)</f>
        <v>#N/A</v>
      </c>
      <c r="D35" s="119"/>
      <c r="E35" s="115" t="e">
        <f ca="1">VLOOKUP($A33,INDIRECT($I35&amp;"!"&amp;$J35&amp;":"&amp;$K35),$N35,FALSE)</f>
        <v>#N/A</v>
      </c>
      <c r="I35" t="str">
        <f>I34</f>
        <v>合計データ</v>
      </c>
      <c r="J35" s="29" t="str">
        <f>J34</f>
        <v>A11</v>
      </c>
      <c r="K35" s="29" t="str">
        <f>K34</f>
        <v>F40</v>
      </c>
      <c r="L35" s="29">
        <f>L32</f>
        <v>3</v>
      </c>
      <c r="M35" s="29"/>
      <c r="N35" s="29">
        <f>N34</f>
        <v>2</v>
      </c>
    </row>
    <row r="36" spans="1:14" x14ac:dyDescent="0.45">
      <c r="A36" s="43" cm="1">
        <f t="array" aca="1" ref="A36" ca="1">INDIRECT("合計データ!A"&amp;$H36)</f>
        <v>0</v>
      </c>
      <c r="B36" s="43" t="s">
        <v>44</v>
      </c>
      <c r="C36" s="113" t="e">
        <f ca="1">ROUND(VLOOKUP($A36,INDIRECT($I36&amp;"!"&amp;$J36&amp;":"&amp;$K36),$L36,FALSE)/$H$1,0)</f>
        <v>#N/A</v>
      </c>
      <c r="D36" s="119"/>
      <c r="E36" s="115" t="e">
        <f ca="1">VLOOKUP($A36,INDIRECT($I36&amp;"!"&amp;$J36&amp;":"&amp;$K36),$N36,FALSE)</f>
        <v>#N/A</v>
      </c>
      <c r="H36" s="29">
        <f>H33+1</f>
        <v>22</v>
      </c>
      <c r="I36" t="str">
        <f>I35</f>
        <v>合計データ</v>
      </c>
      <c r="J36" s="29" t="str">
        <f>J35</f>
        <v>A11</v>
      </c>
      <c r="K36" s="29" t="str">
        <f>K35</f>
        <v>F40</v>
      </c>
      <c r="L36" s="29">
        <f>L33</f>
        <v>5</v>
      </c>
      <c r="M36" s="29"/>
      <c r="N36" s="29">
        <f>N35</f>
        <v>2</v>
      </c>
    </row>
    <row r="37" spans="1:14" x14ac:dyDescent="0.45">
      <c r="A37" s="43"/>
      <c r="B37" s="43" t="s">
        <v>43</v>
      </c>
      <c r="C37" s="113" t="e">
        <f ca="1">ROUND(VLOOKUP($A36,INDIRECT($I37&amp;"!"&amp;$J37&amp;":"&amp;$K37),$L37,FALSE)/$H$1,0)</f>
        <v>#N/A</v>
      </c>
      <c r="D37" s="119" t="e">
        <f ca="1">ROUND(VLOOKUP($A36,INDIRECT($I37&amp;"!"&amp;$J37&amp;":"&amp;$K37),$M37,FALSE)/$H$1,0)</f>
        <v>#N/A</v>
      </c>
      <c r="E37" s="115" t="e">
        <f ca="1">VLOOKUP($A36,INDIRECT($I37&amp;"!"&amp;$J37&amp;":"&amp;$K37),$N37,FALSE)</f>
        <v>#N/A</v>
      </c>
      <c r="F37" s="114" t="e">
        <f ca="1">IF(D37=0,"",C37+D37)</f>
        <v>#N/A</v>
      </c>
      <c r="I37" t="str">
        <f>I36</f>
        <v>合計データ</v>
      </c>
      <c r="J37" s="29" t="str">
        <f>J36</f>
        <v>A11</v>
      </c>
      <c r="K37" s="29" t="str">
        <f>K36</f>
        <v>F40</v>
      </c>
      <c r="L37" s="29">
        <f>L34</f>
        <v>4</v>
      </c>
      <c r="M37" s="29">
        <f>M34</f>
        <v>6</v>
      </c>
      <c r="N37" s="29">
        <f>N36</f>
        <v>2</v>
      </c>
    </row>
    <row r="38" spans="1:14" x14ac:dyDescent="0.45">
      <c r="A38" s="43"/>
      <c r="B38" s="43" t="s">
        <v>42</v>
      </c>
      <c r="C38" s="113" t="e">
        <f ca="1">ROUND(VLOOKUP($A36,INDIRECT($I38&amp;"!"&amp;$J38&amp;":"&amp;$K38),$L38,FALSE)/$H$1,0)</f>
        <v>#N/A</v>
      </c>
      <c r="D38" s="119"/>
      <c r="E38" s="115" t="e">
        <f ca="1">VLOOKUP($A36,INDIRECT($I38&amp;"!"&amp;$J38&amp;":"&amp;$K38),$N38,FALSE)</f>
        <v>#N/A</v>
      </c>
      <c r="I38" t="str">
        <f>I37</f>
        <v>合計データ</v>
      </c>
      <c r="J38" s="29" t="str">
        <f>J37</f>
        <v>A11</v>
      </c>
      <c r="K38" s="29" t="str">
        <f>K37</f>
        <v>F40</v>
      </c>
      <c r="L38" s="29">
        <f>L35</f>
        <v>3</v>
      </c>
      <c r="M38" s="29"/>
      <c r="N38" s="29">
        <f>N37</f>
        <v>2</v>
      </c>
    </row>
    <row r="39" spans="1:14" x14ac:dyDescent="0.45">
      <c r="A39" s="43" cm="1">
        <f t="array" aca="1" ref="A39" ca="1">INDIRECT("合計データ!A"&amp;$H39)</f>
        <v>0</v>
      </c>
      <c r="B39" s="43" t="s">
        <v>44</v>
      </c>
      <c r="C39" s="113" t="e">
        <f ca="1">ROUND(VLOOKUP($A39,INDIRECT($I39&amp;"!"&amp;$J39&amp;":"&amp;$K39),$L39,FALSE)/$H$1,0)</f>
        <v>#N/A</v>
      </c>
      <c r="D39" s="119"/>
      <c r="E39" s="115" t="e">
        <f ca="1">VLOOKUP($A39,INDIRECT($I39&amp;"!"&amp;$J39&amp;":"&amp;$K39),$N39,FALSE)</f>
        <v>#N/A</v>
      </c>
      <c r="H39" s="29">
        <f>H36+1</f>
        <v>23</v>
      </c>
      <c r="I39" t="str">
        <f>I38</f>
        <v>合計データ</v>
      </c>
      <c r="J39" s="29" t="str">
        <f>J38</f>
        <v>A11</v>
      </c>
      <c r="K39" s="29" t="str">
        <f>K38</f>
        <v>F40</v>
      </c>
      <c r="L39" s="29">
        <f>L36</f>
        <v>5</v>
      </c>
      <c r="M39" s="29"/>
      <c r="N39" s="29">
        <f>N38</f>
        <v>2</v>
      </c>
    </row>
    <row r="40" spans="1:14" x14ac:dyDescent="0.45">
      <c r="A40" s="43"/>
      <c r="B40" s="43" t="s">
        <v>43</v>
      </c>
      <c r="C40" s="113" t="e">
        <f ca="1">ROUND(VLOOKUP($A39,INDIRECT($I40&amp;"!"&amp;$J40&amp;":"&amp;$K40),$L40,FALSE)/$H$1,0)</f>
        <v>#N/A</v>
      </c>
      <c r="D40" s="119" t="e">
        <f ca="1">ROUND(VLOOKUP($A39,INDIRECT($I40&amp;"!"&amp;$J40&amp;":"&amp;$K40),$M40,FALSE)/$H$1,0)</f>
        <v>#N/A</v>
      </c>
      <c r="E40" s="115" t="e">
        <f ca="1">VLOOKUP($A39,INDIRECT($I40&amp;"!"&amp;$J40&amp;":"&amp;$K40),$N40,FALSE)</f>
        <v>#N/A</v>
      </c>
      <c r="F40" s="114" t="e">
        <f ca="1">IF(D40=0,"",C40+D40)</f>
        <v>#N/A</v>
      </c>
      <c r="I40" t="str">
        <f>I39</f>
        <v>合計データ</v>
      </c>
      <c r="J40" s="29" t="str">
        <f>J39</f>
        <v>A11</v>
      </c>
      <c r="K40" s="29" t="str">
        <f>K39</f>
        <v>F40</v>
      </c>
      <c r="L40" s="29">
        <f>L37</f>
        <v>4</v>
      </c>
      <c r="M40" s="29">
        <f>M37</f>
        <v>6</v>
      </c>
      <c r="N40" s="29">
        <f>N39</f>
        <v>2</v>
      </c>
    </row>
    <row r="41" spans="1:14" x14ac:dyDescent="0.45">
      <c r="A41" s="43"/>
      <c r="B41" s="43" t="s">
        <v>42</v>
      </c>
      <c r="C41" s="113" t="e">
        <f ca="1">ROUND(VLOOKUP($A39,INDIRECT($I41&amp;"!"&amp;$J41&amp;":"&amp;$K41),$L41,FALSE)/$H$1,0)</f>
        <v>#N/A</v>
      </c>
      <c r="D41" s="119"/>
      <c r="E41" s="115" t="e">
        <f ca="1">VLOOKUP($A39,INDIRECT($I41&amp;"!"&amp;$J41&amp;":"&amp;$K41),$N41,FALSE)</f>
        <v>#N/A</v>
      </c>
      <c r="I41" t="str">
        <f>I40</f>
        <v>合計データ</v>
      </c>
      <c r="J41" s="29" t="str">
        <f>J40</f>
        <v>A11</v>
      </c>
      <c r="K41" s="29" t="str">
        <f>K40</f>
        <v>F40</v>
      </c>
      <c r="L41" s="29">
        <f>L38</f>
        <v>3</v>
      </c>
      <c r="M41" s="29"/>
      <c r="N41" s="29">
        <f>N40</f>
        <v>2</v>
      </c>
    </row>
    <row r="42" spans="1:14" x14ac:dyDescent="0.45">
      <c r="A42" s="43" cm="1">
        <f t="array" aca="1" ref="A42" ca="1">INDIRECT("合計データ!A"&amp;$H42)</f>
        <v>0</v>
      </c>
      <c r="B42" s="43" t="s">
        <v>44</v>
      </c>
      <c r="C42" s="113" t="e">
        <f ca="1">ROUND(VLOOKUP($A42,INDIRECT($I42&amp;"!"&amp;$J42&amp;":"&amp;$K42),$L42,FALSE)/$H$1,0)</f>
        <v>#N/A</v>
      </c>
      <c r="D42" s="119"/>
      <c r="E42" s="115" t="e">
        <f ca="1">VLOOKUP($A42,INDIRECT($I42&amp;"!"&amp;$J42&amp;":"&amp;$K42),$N42,FALSE)</f>
        <v>#N/A</v>
      </c>
      <c r="H42" s="29">
        <f>H39+1</f>
        <v>24</v>
      </c>
      <c r="I42" t="str">
        <f>I41</f>
        <v>合計データ</v>
      </c>
      <c r="J42" s="29" t="str">
        <f>J41</f>
        <v>A11</v>
      </c>
      <c r="K42" s="29" t="str">
        <f>K41</f>
        <v>F40</v>
      </c>
      <c r="L42" s="29">
        <f>L39</f>
        <v>5</v>
      </c>
      <c r="M42" s="29"/>
      <c r="N42" s="29">
        <f>N41</f>
        <v>2</v>
      </c>
    </row>
    <row r="43" spans="1:14" x14ac:dyDescent="0.45">
      <c r="A43" s="43"/>
      <c r="B43" s="43" t="s">
        <v>43</v>
      </c>
      <c r="C43" s="113" t="e">
        <f ca="1">ROUND(VLOOKUP($A42,INDIRECT($I43&amp;"!"&amp;$J43&amp;":"&amp;$K43),$L43,FALSE)/$H$1,0)</f>
        <v>#N/A</v>
      </c>
      <c r="D43" s="119" t="e">
        <f ca="1">ROUND(VLOOKUP($A42,INDIRECT($I43&amp;"!"&amp;$J43&amp;":"&amp;$K43),$M43,FALSE)/$H$1,0)</f>
        <v>#N/A</v>
      </c>
      <c r="E43" s="115" t="e">
        <f ca="1">VLOOKUP($A42,INDIRECT($I43&amp;"!"&amp;$J43&amp;":"&amp;$K43),$N43,FALSE)</f>
        <v>#N/A</v>
      </c>
      <c r="F43" s="114" t="e">
        <f ca="1">IF(D43=0,"",C43+D43)</f>
        <v>#N/A</v>
      </c>
      <c r="I43" t="str">
        <f>I42</f>
        <v>合計データ</v>
      </c>
      <c r="J43" s="29" t="str">
        <f>J42</f>
        <v>A11</v>
      </c>
      <c r="K43" s="29" t="str">
        <f>K42</f>
        <v>F40</v>
      </c>
      <c r="L43" s="29">
        <f>L40</f>
        <v>4</v>
      </c>
      <c r="M43" s="29">
        <f>M40</f>
        <v>6</v>
      </c>
      <c r="N43" s="29">
        <f>N42</f>
        <v>2</v>
      </c>
    </row>
    <row r="44" spans="1:14" x14ac:dyDescent="0.45">
      <c r="A44" s="43"/>
      <c r="B44" s="43" t="s">
        <v>42</v>
      </c>
      <c r="C44" s="113" t="e">
        <f ca="1">ROUND(VLOOKUP($A42,INDIRECT($I44&amp;"!"&amp;$J44&amp;":"&amp;$K44),$L44,FALSE)/$H$1,0)</f>
        <v>#N/A</v>
      </c>
      <c r="D44" s="119"/>
      <c r="E44" s="115" t="e">
        <f ca="1">VLOOKUP($A42,INDIRECT($I44&amp;"!"&amp;$J44&amp;":"&amp;$K44),$N44,FALSE)</f>
        <v>#N/A</v>
      </c>
      <c r="I44" t="str">
        <f>I43</f>
        <v>合計データ</v>
      </c>
      <c r="J44" s="29" t="str">
        <f>J43</f>
        <v>A11</v>
      </c>
      <c r="K44" s="29" t="str">
        <f>K43</f>
        <v>F40</v>
      </c>
      <c r="L44" s="29">
        <f>L41</f>
        <v>3</v>
      </c>
      <c r="M44" s="29"/>
      <c r="N44" s="29">
        <f>N43</f>
        <v>2</v>
      </c>
    </row>
    <row r="45" spans="1:14" x14ac:dyDescent="0.45">
      <c r="A45" s="43" cm="1">
        <f t="array" aca="1" ref="A45" ca="1">INDIRECT("合計データ!A"&amp;$H45)</f>
        <v>0</v>
      </c>
      <c r="B45" s="43" t="s">
        <v>44</v>
      </c>
      <c r="C45" s="113" t="e">
        <f ca="1">ROUND(VLOOKUP($A45,INDIRECT($I45&amp;"!"&amp;$J45&amp;":"&amp;$K45),$L45,FALSE)/$H$1,0)</f>
        <v>#N/A</v>
      </c>
      <c r="D45" s="119"/>
      <c r="E45" s="115" t="e">
        <f ca="1">VLOOKUP($A45,INDIRECT($I45&amp;"!"&amp;$J45&amp;":"&amp;$K45),$N45,FALSE)</f>
        <v>#N/A</v>
      </c>
      <c r="H45" s="29">
        <f>H42+1</f>
        <v>25</v>
      </c>
      <c r="I45" t="str">
        <f>I44</f>
        <v>合計データ</v>
      </c>
      <c r="J45" s="29" t="str">
        <f>J44</f>
        <v>A11</v>
      </c>
      <c r="K45" s="29" t="str">
        <f>K44</f>
        <v>F40</v>
      </c>
      <c r="L45" s="29">
        <f>L42</f>
        <v>5</v>
      </c>
      <c r="M45" s="29"/>
      <c r="N45" s="29">
        <f>N44</f>
        <v>2</v>
      </c>
    </row>
    <row r="46" spans="1:14" x14ac:dyDescent="0.45">
      <c r="A46" s="43"/>
      <c r="B46" s="43" t="s">
        <v>43</v>
      </c>
      <c r="C46" s="113" t="e">
        <f ca="1">ROUND(VLOOKUP($A45,INDIRECT($I46&amp;"!"&amp;$J46&amp;":"&amp;$K46),$L46,FALSE)/$H$1,0)</f>
        <v>#N/A</v>
      </c>
      <c r="D46" s="119" t="e">
        <f ca="1">ROUND(VLOOKUP($A45,INDIRECT($I46&amp;"!"&amp;$J46&amp;":"&amp;$K46),$M46,FALSE)/$H$1,0)</f>
        <v>#N/A</v>
      </c>
      <c r="E46" s="115" t="e">
        <f ca="1">VLOOKUP($A45,INDIRECT($I46&amp;"!"&amp;$J46&amp;":"&amp;$K46),$N46,FALSE)</f>
        <v>#N/A</v>
      </c>
      <c r="F46" s="114" t="e">
        <f ca="1">IF(D46=0,"",C46+D46)</f>
        <v>#N/A</v>
      </c>
      <c r="I46" t="str">
        <f>I45</f>
        <v>合計データ</v>
      </c>
      <c r="J46" s="29" t="str">
        <f>J45</f>
        <v>A11</v>
      </c>
      <c r="K46" s="29" t="str">
        <f>K45</f>
        <v>F40</v>
      </c>
      <c r="L46" s="29">
        <f>L43</f>
        <v>4</v>
      </c>
      <c r="M46" s="29">
        <f>M43</f>
        <v>6</v>
      </c>
      <c r="N46" s="29">
        <f>N45</f>
        <v>2</v>
      </c>
    </row>
    <row r="47" spans="1:14" x14ac:dyDescent="0.45">
      <c r="A47" s="43"/>
      <c r="B47" s="43" t="s">
        <v>42</v>
      </c>
      <c r="C47" s="113" t="e">
        <f ca="1">ROUND(VLOOKUP($A45,INDIRECT($I47&amp;"!"&amp;$J47&amp;":"&amp;$K47),$L47,FALSE)/$H$1,0)</f>
        <v>#N/A</v>
      </c>
      <c r="D47" s="119"/>
      <c r="E47" s="115" t="e">
        <f ca="1">VLOOKUP($A45,INDIRECT($I47&amp;"!"&amp;$J47&amp;":"&amp;$K47),$N47,FALSE)</f>
        <v>#N/A</v>
      </c>
      <c r="I47" t="str">
        <f>I46</f>
        <v>合計データ</v>
      </c>
      <c r="J47" s="29" t="str">
        <f>J46</f>
        <v>A11</v>
      </c>
      <c r="K47" s="29" t="str">
        <f>K46</f>
        <v>F40</v>
      </c>
      <c r="L47" s="29">
        <f>L44</f>
        <v>3</v>
      </c>
      <c r="M47" s="29"/>
      <c r="N47" s="29">
        <f>N46</f>
        <v>2</v>
      </c>
    </row>
    <row r="48" spans="1:14" x14ac:dyDescent="0.45">
      <c r="A48" s="43" cm="1">
        <f t="array" aca="1" ref="A48" ca="1">INDIRECT("合計データ!A"&amp;$H48)</f>
        <v>0</v>
      </c>
      <c r="B48" s="43" t="s">
        <v>44</v>
      </c>
      <c r="C48" s="113" t="e">
        <f ca="1">ROUND(VLOOKUP($A48,INDIRECT($I48&amp;"!"&amp;$J48&amp;":"&amp;$K48),$L48,FALSE)/$H$1,0)</f>
        <v>#N/A</v>
      </c>
      <c r="D48" s="119"/>
      <c r="E48" s="115" t="e">
        <f ca="1">VLOOKUP($A48,INDIRECT($I48&amp;"!"&amp;$J48&amp;":"&amp;$K48),$N48,FALSE)</f>
        <v>#N/A</v>
      </c>
      <c r="H48" s="29">
        <f>H45+1</f>
        <v>26</v>
      </c>
      <c r="I48" t="str">
        <f>I47</f>
        <v>合計データ</v>
      </c>
      <c r="J48" s="29" t="str">
        <f>J47</f>
        <v>A11</v>
      </c>
      <c r="K48" s="29" t="str">
        <f>K47</f>
        <v>F40</v>
      </c>
      <c r="L48" s="29">
        <f>L45</f>
        <v>5</v>
      </c>
      <c r="M48" s="29"/>
      <c r="N48" s="29">
        <f>N47</f>
        <v>2</v>
      </c>
    </row>
    <row r="49" spans="1:14" x14ac:dyDescent="0.45">
      <c r="A49" s="43"/>
      <c r="B49" s="43" t="s">
        <v>43</v>
      </c>
      <c r="C49" s="113" t="e">
        <f ca="1">ROUND(VLOOKUP($A48,INDIRECT($I49&amp;"!"&amp;$J49&amp;":"&amp;$K49),$L49,FALSE)/$H$1,0)</f>
        <v>#N/A</v>
      </c>
      <c r="D49" s="119" t="e">
        <f ca="1">ROUND(VLOOKUP($A48,INDIRECT($I49&amp;"!"&amp;$J49&amp;":"&amp;$K49),$M49,FALSE)/$H$1,0)</f>
        <v>#N/A</v>
      </c>
      <c r="E49" s="115" t="e">
        <f ca="1">VLOOKUP($A48,INDIRECT($I49&amp;"!"&amp;$J49&amp;":"&amp;$K49),$N49,FALSE)</f>
        <v>#N/A</v>
      </c>
      <c r="F49" s="114" t="e">
        <f ca="1">IF(D49=0,"",C49+D49)</f>
        <v>#N/A</v>
      </c>
      <c r="I49" t="str">
        <f>I48</f>
        <v>合計データ</v>
      </c>
      <c r="J49" s="29" t="str">
        <f>J48</f>
        <v>A11</v>
      </c>
      <c r="K49" s="29" t="str">
        <f>K48</f>
        <v>F40</v>
      </c>
      <c r="L49" s="29">
        <f>L46</f>
        <v>4</v>
      </c>
      <c r="M49" s="29">
        <f>M46</f>
        <v>6</v>
      </c>
      <c r="N49" s="29">
        <f>N48</f>
        <v>2</v>
      </c>
    </row>
    <row r="50" spans="1:14" x14ac:dyDescent="0.45">
      <c r="A50" s="43"/>
      <c r="B50" s="43" t="s">
        <v>42</v>
      </c>
      <c r="C50" s="113" t="e">
        <f ca="1">ROUND(VLOOKUP($A48,INDIRECT($I50&amp;"!"&amp;$J50&amp;":"&amp;$K50),$L50,FALSE)/$H$1,0)</f>
        <v>#N/A</v>
      </c>
      <c r="D50" s="119"/>
      <c r="E50" s="115" t="e">
        <f ca="1">VLOOKUP($A48,INDIRECT($I50&amp;"!"&amp;$J50&amp;":"&amp;$K50),$N50,FALSE)</f>
        <v>#N/A</v>
      </c>
      <c r="I50" t="str">
        <f>I49</f>
        <v>合計データ</v>
      </c>
      <c r="J50" s="29" t="str">
        <f>J49</f>
        <v>A11</v>
      </c>
      <c r="K50" s="29" t="str">
        <f>K49</f>
        <v>F40</v>
      </c>
      <c r="L50" s="29">
        <f>L47</f>
        <v>3</v>
      </c>
      <c r="M50" s="29"/>
      <c r="N50" s="29">
        <f>N49</f>
        <v>2</v>
      </c>
    </row>
    <row r="51" spans="1:14" x14ac:dyDescent="0.45">
      <c r="A51" s="43" cm="1">
        <f t="array" aca="1" ref="A51" ca="1">INDIRECT("合計データ!A"&amp;$H51)</f>
        <v>0</v>
      </c>
      <c r="B51" s="43" t="s">
        <v>44</v>
      </c>
      <c r="C51" s="113" t="e">
        <f ca="1">ROUND(VLOOKUP($A51,INDIRECT($I51&amp;"!"&amp;$J51&amp;":"&amp;$K51),$L51,FALSE)/$H$1,0)</f>
        <v>#N/A</v>
      </c>
      <c r="D51" s="119"/>
      <c r="E51" s="115" t="e">
        <f ca="1">VLOOKUP($A51,INDIRECT($I51&amp;"!"&amp;$J51&amp;":"&amp;$K51),$N51,FALSE)</f>
        <v>#N/A</v>
      </c>
      <c r="H51" s="29">
        <f>H48+1</f>
        <v>27</v>
      </c>
      <c r="I51" t="str">
        <f>I50</f>
        <v>合計データ</v>
      </c>
      <c r="J51" s="29" t="str">
        <f>J50</f>
        <v>A11</v>
      </c>
      <c r="K51" s="29" t="str">
        <f>K50</f>
        <v>F40</v>
      </c>
      <c r="L51" s="29">
        <f>L48</f>
        <v>5</v>
      </c>
      <c r="M51" s="29"/>
      <c r="N51" s="29">
        <f>N50</f>
        <v>2</v>
      </c>
    </row>
    <row r="52" spans="1:14" x14ac:dyDescent="0.45">
      <c r="A52" s="43"/>
      <c r="B52" s="43" t="s">
        <v>43</v>
      </c>
      <c r="C52" s="113" t="e">
        <f ca="1">ROUND(VLOOKUP($A51,INDIRECT($I52&amp;"!"&amp;$J52&amp;":"&amp;$K52),$L52,FALSE)/$H$1,0)</f>
        <v>#N/A</v>
      </c>
      <c r="D52" s="119" t="e">
        <f ca="1">ROUND(VLOOKUP($A51,INDIRECT($I52&amp;"!"&amp;$J52&amp;":"&amp;$K52),$M52,FALSE)/$H$1,0)</f>
        <v>#N/A</v>
      </c>
      <c r="E52" s="115" t="e">
        <f ca="1">VLOOKUP($A51,INDIRECT($I52&amp;"!"&amp;$J52&amp;":"&amp;$K52),$N52,FALSE)</f>
        <v>#N/A</v>
      </c>
      <c r="F52" s="114" t="e">
        <f ca="1">IF(D52=0,"",C52+D52)</f>
        <v>#N/A</v>
      </c>
      <c r="I52" t="str">
        <f>I51</f>
        <v>合計データ</v>
      </c>
      <c r="J52" s="29" t="str">
        <f>J51</f>
        <v>A11</v>
      </c>
      <c r="K52" s="29" t="str">
        <f>K51</f>
        <v>F40</v>
      </c>
      <c r="L52" s="29">
        <f>L49</f>
        <v>4</v>
      </c>
      <c r="M52" s="29">
        <f>M49</f>
        <v>6</v>
      </c>
      <c r="N52" s="29">
        <f>N51</f>
        <v>2</v>
      </c>
    </row>
    <row r="53" spans="1:14" x14ac:dyDescent="0.45">
      <c r="A53" s="43"/>
      <c r="B53" s="43" t="s">
        <v>42</v>
      </c>
      <c r="C53" s="113" t="e">
        <f ca="1">ROUND(VLOOKUP($A51,INDIRECT($I53&amp;"!"&amp;$J53&amp;":"&amp;$K53),$L53,FALSE)/$H$1,0)</f>
        <v>#N/A</v>
      </c>
      <c r="D53" s="119"/>
      <c r="E53" s="115" t="e">
        <f ca="1">VLOOKUP($A51,INDIRECT($I53&amp;"!"&amp;$J53&amp;":"&amp;$K53),$N53,FALSE)</f>
        <v>#N/A</v>
      </c>
      <c r="I53" t="str">
        <f>I52</f>
        <v>合計データ</v>
      </c>
      <c r="J53" s="29" t="str">
        <f>J52</f>
        <v>A11</v>
      </c>
      <c r="K53" s="29" t="str">
        <f>K52</f>
        <v>F40</v>
      </c>
      <c r="L53" s="29">
        <f>L50</f>
        <v>3</v>
      </c>
      <c r="M53" s="29"/>
      <c r="N53" s="29">
        <f>N52</f>
        <v>2</v>
      </c>
    </row>
    <row r="54" spans="1:14" x14ac:dyDescent="0.45">
      <c r="A54" s="43" cm="1">
        <f t="array" aca="1" ref="A54" ca="1">INDIRECT("合計データ!A"&amp;$H54)</f>
        <v>0</v>
      </c>
      <c r="B54" s="43" t="s">
        <v>44</v>
      </c>
      <c r="C54" s="113" t="e">
        <f ca="1">ROUND(VLOOKUP($A54,INDIRECT($I54&amp;"!"&amp;$J54&amp;":"&amp;$K54),$L54,FALSE)/$H$1,0)</f>
        <v>#N/A</v>
      </c>
      <c r="D54" s="119"/>
      <c r="E54" s="115" t="e">
        <f ca="1">VLOOKUP($A54,INDIRECT($I54&amp;"!"&amp;$J54&amp;":"&amp;$K54),$N54,FALSE)</f>
        <v>#N/A</v>
      </c>
      <c r="H54" s="29">
        <f>H51+1</f>
        <v>28</v>
      </c>
      <c r="I54" t="str">
        <f>I53</f>
        <v>合計データ</v>
      </c>
      <c r="J54" s="29" t="str">
        <f>J53</f>
        <v>A11</v>
      </c>
      <c r="K54" s="29" t="str">
        <f>K53</f>
        <v>F40</v>
      </c>
      <c r="L54" s="29">
        <f>L51</f>
        <v>5</v>
      </c>
      <c r="M54" s="29"/>
      <c r="N54" s="29">
        <f>N53</f>
        <v>2</v>
      </c>
    </row>
    <row r="55" spans="1:14" x14ac:dyDescent="0.45">
      <c r="A55" s="43"/>
      <c r="B55" s="43" t="s">
        <v>43</v>
      </c>
      <c r="C55" s="113" t="e">
        <f ca="1">ROUND(VLOOKUP($A54,INDIRECT($I55&amp;"!"&amp;$J55&amp;":"&amp;$K55),$L55,FALSE)/$H$1,0)</f>
        <v>#N/A</v>
      </c>
      <c r="D55" s="119" t="e">
        <f ca="1">ROUND(VLOOKUP($A54,INDIRECT($I55&amp;"!"&amp;$J55&amp;":"&amp;$K55),$M55,FALSE)/$H$1,0)</f>
        <v>#N/A</v>
      </c>
      <c r="E55" s="115" t="e">
        <f ca="1">VLOOKUP($A54,INDIRECT($I55&amp;"!"&amp;$J55&amp;":"&amp;$K55),$N55,FALSE)</f>
        <v>#N/A</v>
      </c>
      <c r="F55" s="114" t="e">
        <f ca="1">IF(D55=0,"",C55+D55)</f>
        <v>#N/A</v>
      </c>
      <c r="I55" t="str">
        <f>I54</f>
        <v>合計データ</v>
      </c>
      <c r="J55" s="29" t="str">
        <f>J54</f>
        <v>A11</v>
      </c>
      <c r="K55" s="29" t="str">
        <f>K54</f>
        <v>F40</v>
      </c>
      <c r="L55" s="29">
        <f>L52</f>
        <v>4</v>
      </c>
      <c r="M55" s="29">
        <f>M52</f>
        <v>6</v>
      </c>
      <c r="N55" s="29">
        <f>N54</f>
        <v>2</v>
      </c>
    </row>
    <row r="56" spans="1:14" x14ac:dyDescent="0.45">
      <c r="A56" s="43"/>
      <c r="B56" s="43" t="s">
        <v>42</v>
      </c>
      <c r="C56" s="113" t="e">
        <f ca="1">ROUND(VLOOKUP($A54,INDIRECT($I56&amp;"!"&amp;$J56&amp;":"&amp;$K56),$L56,FALSE)/$H$1,0)</f>
        <v>#N/A</v>
      </c>
      <c r="D56" s="119"/>
      <c r="E56" s="115" t="e">
        <f ca="1">VLOOKUP($A54,INDIRECT($I56&amp;"!"&amp;$J56&amp;":"&amp;$K56),$N56,FALSE)</f>
        <v>#N/A</v>
      </c>
      <c r="I56" t="str">
        <f>I55</f>
        <v>合計データ</v>
      </c>
      <c r="J56" s="29" t="str">
        <f>J55</f>
        <v>A11</v>
      </c>
      <c r="K56" s="29" t="str">
        <f>K55</f>
        <v>F40</v>
      </c>
      <c r="L56" s="29">
        <f>L53</f>
        <v>3</v>
      </c>
      <c r="M56" s="29"/>
      <c r="N56" s="29">
        <f>N55</f>
        <v>2</v>
      </c>
    </row>
    <row r="57" spans="1:14" x14ac:dyDescent="0.45">
      <c r="A57" s="43" cm="1">
        <f t="array" aca="1" ref="A57" ca="1">INDIRECT("合計データ!A"&amp;$H57)</f>
        <v>0</v>
      </c>
      <c r="B57" s="43" t="s">
        <v>44</v>
      </c>
      <c r="C57" s="113" t="e">
        <f ca="1">ROUND(VLOOKUP($A57,INDIRECT($I57&amp;"!"&amp;$J57&amp;":"&amp;$K57),$L57,FALSE)/$H$1,0)</f>
        <v>#N/A</v>
      </c>
      <c r="D57" s="119"/>
      <c r="E57" s="115" t="e">
        <f ca="1">VLOOKUP($A57,INDIRECT($I57&amp;"!"&amp;$J57&amp;":"&amp;$K57),$N57,FALSE)</f>
        <v>#N/A</v>
      </c>
      <c r="H57" s="29">
        <f>H54+1</f>
        <v>29</v>
      </c>
      <c r="I57" t="str">
        <f>I56</f>
        <v>合計データ</v>
      </c>
      <c r="J57" s="29" t="str">
        <f>J56</f>
        <v>A11</v>
      </c>
      <c r="K57" s="29" t="str">
        <f>K56</f>
        <v>F40</v>
      </c>
      <c r="L57" s="29">
        <f>L54</f>
        <v>5</v>
      </c>
      <c r="M57" s="29"/>
      <c r="N57" s="29">
        <f>N56</f>
        <v>2</v>
      </c>
    </row>
    <row r="58" spans="1:14" x14ac:dyDescent="0.45">
      <c r="A58" s="43"/>
      <c r="B58" s="43" t="s">
        <v>43</v>
      </c>
      <c r="C58" s="113" t="e">
        <f ca="1">ROUND(VLOOKUP($A57,INDIRECT($I58&amp;"!"&amp;$J58&amp;":"&amp;$K58),$L58,FALSE)/$H$1,0)</f>
        <v>#N/A</v>
      </c>
      <c r="D58" s="119" t="e">
        <f ca="1">ROUND(VLOOKUP($A57,INDIRECT($I58&amp;"!"&amp;$J58&amp;":"&amp;$K58),$M58,FALSE)/$H$1,0)</f>
        <v>#N/A</v>
      </c>
      <c r="E58" s="115" t="e">
        <f ca="1">VLOOKUP($A57,INDIRECT($I58&amp;"!"&amp;$J58&amp;":"&amp;$K58),$N58,FALSE)</f>
        <v>#N/A</v>
      </c>
      <c r="F58" s="114" t="e">
        <f ca="1">IF(D58=0,"",C58+D58)</f>
        <v>#N/A</v>
      </c>
      <c r="I58" t="str">
        <f>I57</f>
        <v>合計データ</v>
      </c>
      <c r="J58" s="29" t="str">
        <f>J57</f>
        <v>A11</v>
      </c>
      <c r="K58" s="29" t="str">
        <f>K57</f>
        <v>F40</v>
      </c>
      <c r="L58" s="29">
        <f>L55</f>
        <v>4</v>
      </c>
      <c r="M58" s="29">
        <f>M55</f>
        <v>6</v>
      </c>
      <c r="N58" s="29">
        <f>N57</f>
        <v>2</v>
      </c>
    </row>
    <row r="59" spans="1:14" x14ac:dyDescent="0.45">
      <c r="A59" s="43"/>
      <c r="B59" s="43" t="s">
        <v>42</v>
      </c>
      <c r="C59" s="113" t="e">
        <f ca="1">ROUND(VLOOKUP($A57,INDIRECT($I59&amp;"!"&amp;$J59&amp;":"&amp;$K59),$L59,FALSE)/$H$1,0)</f>
        <v>#N/A</v>
      </c>
      <c r="D59" s="119"/>
      <c r="E59" s="115" t="e">
        <f ca="1">VLOOKUP($A57,INDIRECT($I59&amp;"!"&amp;$J59&amp;":"&amp;$K59),$N59,FALSE)</f>
        <v>#N/A</v>
      </c>
      <c r="I59" t="str">
        <f>I58</f>
        <v>合計データ</v>
      </c>
      <c r="J59" s="29" t="str">
        <f>J58</f>
        <v>A11</v>
      </c>
      <c r="K59" s="29" t="str">
        <f>K58</f>
        <v>F40</v>
      </c>
      <c r="L59" s="29">
        <f>L56</f>
        <v>3</v>
      </c>
      <c r="M59" s="29"/>
      <c r="N59" s="29">
        <f>N58</f>
        <v>2</v>
      </c>
    </row>
    <row r="60" spans="1:14" x14ac:dyDescent="0.45">
      <c r="A60" s="43" cm="1">
        <f t="array" aca="1" ref="A60" ca="1">INDIRECT("合計データ!A"&amp;$H60)</f>
        <v>0</v>
      </c>
      <c r="B60" s="43" t="s">
        <v>44</v>
      </c>
      <c r="C60" s="113" t="e">
        <f ca="1">ROUND(VLOOKUP($A60,INDIRECT($I60&amp;"!"&amp;$J60&amp;":"&amp;$K60),$L60,FALSE)/$H$1,0)</f>
        <v>#N/A</v>
      </c>
      <c r="D60" s="119"/>
      <c r="E60" s="115" t="e">
        <f ca="1">VLOOKUP($A60,INDIRECT($I60&amp;"!"&amp;$J60&amp;":"&amp;$K60),$N60,FALSE)</f>
        <v>#N/A</v>
      </c>
      <c r="H60" s="29">
        <f>H57+1</f>
        <v>30</v>
      </c>
      <c r="I60" t="str">
        <f>I59</f>
        <v>合計データ</v>
      </c>
      <c r="J60" s="29" t="str">
        <f>J59</f>
        <v>A11</v>
      </c>
      <c r="K60" s="29" t="str">
        <f>K59</f>
        <v>F40</v>
      </c>
      <c r="L60" s="29">
        <f>L57</f>
        <v>5</v>
      </c>
      <c r="M60" s="29"/>
      <c r="N60" s="29">
        <f>N59</f>
        <v>2</v>
      </c>
    </row>
    <row r="61" spans="1:14" x14ac:dyDescent="0.45">
      <c r="A61" s="43"/>
      <c r="B61" s="43" t="s">
        <v>43</v>
      </c>
      <c r="C61" s="113" t="e">
        <f ca="1">ROUND(VLOOKUP($A60,INDIRECT($I61&amp;"!"&amp;$J61&amp;":"&amp;$K61),$L61,FALSE)/$H$1,0)</f>
        <v>#N/A</v>
      </c>
      <c r="D61" s="119" t="e">
        <f ca="1">ROUND(VLOOKUP($A60,INDIRECT($I61&amp;"!"&amp;$J61&amp;":"&amp;$K61),$M61,FALSE)/$H$1,0)</f>
        <v>#N/A</v>
      </c>
      <c r="E61" s="115" t="e">
        <f ca="1">VLOOKUP($A60,INDIRECT($I61&amp;"!"&amp;$J61&amp;":"&amp;$K61),$N61,FALSE)</f>
        <v>#N/A</v>
      </c>
      <c r="F61" s="114" t="e">
        <f ca="1">IF(D61=0,"",C61+D61)</f>
        <v>#N/A</v>
      </c>
      <c r="I61" t="str">
        <f>I60</f>
        <v>合計データ</v>
      </c>
      <c r="J61" s="29" t="str">
        <f>J60</f>
        <v>A11</v>
      </c>
      <c r="K61" s="29" t="str">
        <f>K60</f>
        <v>F40</v>
      </c>
      <c r="L61" s="29">
        <f>L58</f>
        <v>4</v>
      </c>
      <c r="M61" s="29">
        <f>M58</f>
        <v>6</v>
      </c>
      <c r="N61" s="29">
        <f>N60</f>
        <v>2</v>
      </c>
    </row>
    <row r="62" spans="1:14" x14ac:dyDescent="0.45">
      <c r="A62" s="43"/>
      <c r="B62" s="43" t="s">
        <v>42</v>
      </c>
      <c r="C62" s="113" t="e">
        <f ca="1">ROUND(VLOOKUP($A60,INDIRECT($I62&amp;"!"&amp;$J62&amp;":"&amp;$K62),$L62,FALSE)/$H$1,0)</f>
        <v>#N/A</v>
      </c>
      <c r="D62" s="119"/>
      <c r="E62" s="115" t="e">
        <f ca="1">VLOOKUP($A60,INDIRECT($I62&amp;"!"&amp;$J62&amp;":"&amp;$K62),$N62,FALSE)</f>
        <v>#N/A</v>
      </c>
      <c r="I62" t="str">
        <f>I61</f>
        <v>合計データ</v>
      </c>
      <c r="J62" s="29" t="str">
        <f>J61</f>
        <v>A11</v>
      </c>
      <c r="K62" s="29" t="str">
        <f>K61</f>
        <v>F40</v>
      </c>
      <c r="L62" s="29">
        <f>L59</f>
        <v>3</v>
      </c>
      <c r="M62" s="29"/>
      <c r="N62" s="29">
        <f>N61</f>
        <v>2</v>
      </c>
    </row>
    <row r="63" spans="1:14" x14ac:dyDescent="0.45">
      <c r="A63" s="43" cm="1">
        <f t="array" aca="1" ref="A63" ca="1">INDIRECT("合計データ!A"&amp;$H63)</f>
        <v>0</v>
      </c>
      <c r="B63" s="43" t="s">
        <v>44</v>
      </c>
      <c r="C63" s="113" t="e">
        <f ca="1">ROUND(VLOOKUP($A63,INDIRECT($I63&amp;"!"&amp;$J63&amp;":"&amp;$K63),$L63,FALSE)/$H$1,0)</f>
        <v>#N/A</v>
      </c>
      <c r="D63" s="119"/>
      <c r="E63" s="115" t="e">
        <f ca="1">VLOOKUP($A63,INDIRECT($I63&amp;"!"&amp;$J63&amp;":"&amp;$K63),$N63,FALSE)</f>
        <v>#N/A</v>
      </c>
      <c r="H63" s="29">
        <f>H60+1</f>
        <v>31</v>
      </c>
      <c r="I63" t="str">
        <f>I62</f>
        <v>合計データ</v>
      </c>
      <c r="J63" s="29" t="str">
        <f>J62</f>
        <v>A11</v>
      </c>
      <c r="K63" s="29" t="str">
        <f>K62</f>
        <v>F40</v>
      </c>
      <c r="L63" s="29">
        <f>L60</f>
        <v>5</v>
      </c>
      <c r="M63" s="29"/>
      <c r="N63" s="29">
        <f>N62</f>
        <v>2</v>
      </c>
    </row>
    <row r="64" spans="1:14" x14ac:dyDescent="0.45">
      <c r="A64" s="43"/>
      <c r="B64" s="43" t="s">
        <v>43</v>
      </c>
      <c r="C64" s="113" t="e">
        <f ca="1">ROUND(VLOOKUP($A63,INDIRECT($I64&amp;"!"&amp;$J64&amp;":"&amp;$K64),$L64,FALSE)/$H$1,0)</f>
        <v>#N/A</v>
      </c>
      <c r="D64" s="119" t="e">
        <f ca="1">ROUND(VLOOKUP($A63,INDIRECT($I64&amp;"!"&amp;$J64&amp;":"&amp;$K64),$M64,FALSE)/$H$1,0)</f>
        <v>#N/A</v>
      </c>
      <c r="E64" s="115" t="e">
        <f ca="1">VLOOKUP($A63,INDIRECT($I64&amp;"!"&amp;$J64&amp;":"&amp;$K64),$N64,FALSE)</f>
        <v>#N/A</v>
      </c>
      <c r="F64" s="114" t="e">
        <f ca="1">IF(D64=0,"",C64+D64)</f>
        <v>#N/A</v>
      </c>
      <c r="I64" t="str">
        <f>I63</f>
        <v>合計データ</v>
      </c>
      <c r="J64" s="29" t="str">
        <f>J63</f>
        <v>A11</v>
      </c>
      <c r="K64" s="29" t="str">
        <f>K63</f>
        <v>F40</v>
      </c>
      <c r="L64" s="29">
        <f>L61</f>
        <v>4</v>
      </c>
      <c r="M64" s="29">
        <f>M61</f>
        <v>6</v>
      </c>
      <c r="N64" s="29">
        <f>N63</f>
        <v>2</v>
      </c>
    </row>
    <row r="65" spans="1:14" x14ac:dyDescent="0.45">
      <c r="A65" s="43"/>
      <c r="B65" s="43" t="s">
        <v>42</v>
      </c>
      <c r="C65" s="113" t="e">
        <f ca="1">ROUND(VLOOKUP($A63,INDIRECT($I65&amp;"!"&amp;$J65&amp;":"&amp;$K65),$L65,FALSE)/$H$1,0)</f>
        <v>#N/A</v>
      </c>
      <c r="D65" s="119"/>
      <c r="E65" s="115" t="e">
        <f ca="1">VLOOKUP($A63,INDIRECT($I65&amp;"!"&amp;$J65&amp;":"&amp;$K65),$N65,FALSE)</f>
        <v>#N/A</v>
      </c>
      <c r="I65" t="str">
        <f>I64</f>
        <v>合計データ</v>
      </c>
      <c r="J65" s="29" t="str">
        <f>J64</f>
        <v>A11</v>
      </c>
      <c r="K65" s="29" t="str">
        <f>K64</f>
        <v>F40</v>
      </c>
      <c r="L65" s="29">
        <f>L62</f>
        <v>3</v>
      </c>
      <c r="M65" s="29"/>
      <c r="N65" s="29">
        <f>N64</f>
        <v>2</v>
      </c>
    </row>
    <row r="66" spans="1:14" x14ac:dyDescent="0.45">
      <c r="A66" s="43" cm="1">
        <f t="array" aca="1" ref="A66" ca="1">INDIRECT("合計データ!A"&amp;$H66)</f>
        <v>0</v>
      </c>
      <c r="B66" s="43" t="s">
        <v>44</v>
      </c>
      <c r="C66" s="113" t="e">
        <f ca="1">ROUND(VLOOKUP($A66,INDIRECT($I66&amp;"!"&amp;$J66&amp;":"&amp;$K66),$L66,FALSE)/$H$1,0)</f>
        <v>#N/A</v>
      </c>
      <c r="D66" s="119"/>
      <c r="E66" s="115" t="e">
        <f ca="1">VLOOKUP($A66,INDIRECT($I66&amp;"!"&amp;$J66&amp;":"&amp;$K66),$N66,FALSE)</f>
        <v>#N/A</v>
      </c>
      <c r="H66" s="29">
        <f>H63+1</f>
        <v>32</v>
      </c>
      <c r="I66" t="str">
        <f>I65</f>
        <v>合計データ</v>
      </c>
      <c r="J66" s="29" t="str">
        <f>J65</f>
        <v>A11</v>
      </c>
      <c r="K66" s="29" t="str">
        <f>K65</f>
        <v>F40</v>
      </c>
      <c r="L66" s="29">
        <f>L63</f>
        <v>5</v>
      </c>
      <c r="M66" s="29"/>
      <c r="N66" s="29">
        <f>N65</f>
        <v>2</v>
      </c>
    </row>
    <row r="67" spans="1:14" x14ac:dyDescent="0.45">
      <c r="A67" s="43"/>
      <c r="B67" s="43" t="s">
        <v>43</v>
      </c>
      <c r="C67" s="113" t="e">
        <f ca="1">ROUND(VLOOKUP($A66,INDIRECT($I67&amp;"!"&amp;$J67&amp;":"&amp;$K67),$L67,FALSE)/$H$1,0)</f>
        <v>#N/A</v>
      </c>
      <c r="D67" s="119" t="e">
        <f ca="1">ROUND(VLOOKUP($A66,INDIRECT($I67&amp;"!"&amp;$J67&amp;":"&amp;$K67),$M67,FALSE)/$H$1,0)</f>
        <v>#N/A</v>
      </c>
      <c r="E67" s="115" t="e">
        <f ca="1">VLOOKUP($A66,INDIRECT($I67&amp;"!"&amp;$J67&amp;":"&amp;$K67),$N67,FALSE)</f>
        <v>#N/A</v>
      </c>
      <c r="F67" s="114" t="e">
        <f ca="1">IF(D67=0,"",C67+D67)</f>
        <v>#N/A</v>
      </c>
      <c r="I67" t="str">
        <f>I66</f>
        <v>合計データ</v>
      </c>
      <c r="J67" s="29" t="str">
        <f>J66</f>
        <v>A11</v>
      </c>
      <c r="K67" s="29" t="str">
        <f>K66</f>
        <v>F40</v>
      </c>
      <c r="L67" s="29">
        <f>L64</f>
        <v>4</v>
      </c>
      <c r="M67" s="29">
        <f>M64</f>
        <v>6</v>
      </c>
      <c r="N67" s="29">
        <f>N66</f>
        <v>2</v>
      </c>
    </row>
    <row r="68" spans="1:14" x14ac:dyDescent="0.45">
      <c r="A68" s="43"/>
      <c r="B68" s="43" t="s">
        <v>42</v>
      </c>
      <c r="C68" s="113" t="e">
        <f ca="1">ROUND(VLOOKUP($A66,INDIRECT($I68&amp;"!"&amp;$J68&amp;":"&amp;$K68),$L68,FALSE)/$H$1,0)</f>
        <v>#N/A</v>
      </c>
      <c r="D68" s="119"/>
      <c r="E68" s="115" t="e">
        <f ca="1">VLOOKUP($A66,INDIRECT($I68&amp;"!"&amp;$J68&amp;":"&amp;$K68),$N68,FALSE)</f>
        <v>#N/A</v>
      </c>
      <c r="I68" t="str">
        <f>I67</f>
        <v>合計データ</v>
      </c>
      <c r="J68" s="29" t="str">
        <f>J67</f>
        <v>A11</v>
      </c>
      <c r="K68" s="29" t="str">
        <f>K67</f>
        <v>F40</v>
      </c>
      <c r="L68" s="29">
        <f>L65</f>
        <v>3</v>
      </c>
      <c r="M68" s="29"/>
      <c r="N68" s="29">
        <f>N67</f>
        <v>2</v>
      </c>
    </row>
    <row r="69" spans="1:14" x14ac:dyDescent="0.45">
      <c r="A69" s="43" cm="1">
        <f t="array" aca="1" ref="A69" ca="1">INDIRECT("合計データ!A"&amp;$H69)</f>
        <v>0</v>
      </c>
      <c r="B69" s="43" t="s">
        <v>44</v>
      </c>
      <c r="C69" s="113" t="e">
        <f ca="1">ROUND(VLOOKUP($A69,INDIRECT($I69&amp;"!"&amp;$J69&amp;":"&amp;$K69),$L69,FALSE)/$H$1,0)</f>
        <v>#N/A</v>
      </c>
      <c r="D69" s="119"/>
      <c r="E69" s="115" t="e">
        <f ca="1">VLOOKUP($A69,INDIRECT($I69&amp;"!"&amp;$J69&amp;":"&amp;$K69),$N69,FALSE)</f>
        <v>#N/A</v>
      </c>
      <c r="H69" s="29">
        <f>H66+1</f>
        <v>33</v>
      </c>
      <c r="I69" t="str">
        <f>I68</f>
        <v>合計データ</v>
      </c>
      <c r="J69" s="29" t="str">
        <f>J68</f>
        <v>A11</v>
      </c>
      <c r="K69" s="29" t="str">
        <f>K68</f>
        <v>F40</v>
      </c>
      <c r="L69" s="29">
        <f>L66</f>
        <v>5</v>
      </c>
      <c r="M69" s="29"/>
      <c r="N69" s="29">
        <f>N68</f>
        <v>2</v>
      </c>
    </row>
    <row r="70" spans="1:14" x14ac:dyDescent="0.45">
      <c r="A70" s="43"/>
      <c r="B70" s="43" t="s">
        <v>43</v>
      </c>
      <c r="C70" s="113" t="e">
        <f ca="1">ROUND(VLOOKUP($A69,INDIRECT($I70&amp;"!"&amp;$J70&amp;":"&amp;$K70),$L70,FALSE)/$H$1,0)</f>
        <v>#N/A</v>
      </c>
      <c r="D70" s="119" t="e">
        <f ca="1">ROUND(VLOOKUP($A69,INDIRECT($I70&amp;"!"&amp;$J70&amp;":"&amp;$K70),$M70,FALSE)/$H$1,0)</f>
        <v>#N/A</v>
      </c>
      <c r="E70" s="115" t="e">
        <f ca="1">VLOOKUP($A69,INDIRECT($I70&amp;"!"&amp;$J70&amp;":"&amp;$K70),$N70,FALSE)</f>
        <v>#N/A</v>
      </c>
      <c r="F70" s="114" t="e">
        <f ca="1">IF(D70=0,"",C70+D70)</f>
        <v>#N/A</v>
      </c>
      <c r="I70" t="str">
        <f>I69</f>
        <v>合計データ</v>
      </c>
      <c r="J70" s="29" t="str">
        <f>J69</f>
        <v>A11</v>
      </c>
      <c r="K70" s="29" t="str">
        <f>K69</f>
        <v>F40</v>
      </c>
      <c r="L70" s="29">
        <f>L67</f>
        <v>4</v>
      </c>
      <c r="M70" s="29">
        <f>M67</f>
        <v>6</v>
      </c>
      <c r="N70" s="29">
        <f>N69</f>
        <v>2</v>
      </c>
    </row>
    <row r="71" spans="1:14" x14ac:dyDescent="0.45">
      <c r="A71" s="43"/>
      <c r="B71" s="43" t="s">
        <v>42</v>
      </c>
      <c r="C71" s="113" t="e">
        <f ca="1">ROUND(VLOOKUP($A69,INDIRECT($I71&amp;"!"&amp;$J71&amp;":"&amp;$K71),$L71,FALSE)/$H$1,0)</f>
        <v>#N/A</v>
      </c>
      <c r="D71" s="119"/>
      <c r="E71" s="115" t="e">
        <f ca="1">VLOOKUP($A69,INDIRECT($I71&amp;"!"&amp;$J71&amp;":"&amp;$K71),$N71,FALSE)</f>
        <v>#N/A</v>
      </c>
      <c r="I71" t="str">
        <f>I70</f>
        <v>合計データ</v>
      </c>
      <c r="J71" s="29" t="str">
        <f>J70</f>
        <v>A11</v>
      </c>
      <c r="K71" s="29" t="str">
        <f>K70</f>
        <v>F40</v>
      </c>
      <c r="L71" s="29">
        <f>L68</f>
        <v>3</v>
      </c>
      <c r="M71" s="29"/>
      <c r="N71" s="29">
        <f>N70</f>
        <v>2</v>
      </c>
    </row>
    <row r="72" spans="1:14" x14ac:dyDescent="0.45">
      <c r="A72" s="43" cm="1">
        <f t="array" aca="1" ref="A72" ca="1">INDIRECT("合計データ!A"&amp;$H72)</f>
        <v>0</v>
      </c>
      <c r="B72" s="43" t="s">
        <v>44</v>
      </c>
      <c r="C72" s="113" t="e">
        <f ca="1">ROUND(VLOOKUP($A72,INDIRECT($I72&amp;"!"&amp;$J72&amp;":"&amp;$K72),$L72,FALSE)/$H$1,0)</f>
        <v>#N/A</v>
      </c>
      <c r="D72" s="119"/>
      <c r="E72" s="115" t="e">
        <f ca="1">VLOOKUP($A72,INDIRECT($I72&amp;"!"&amp;$J72&amp;":"&amp;$K72),$N72,FALSE)</f>
        <v>#N/A</v>
      </c>
      <c r="H72" s="29">
        <f>H69+1</f>
        <v>34</v>
      </c>
      <c r="I72" t="str">
        <f>I71</f>
        <v>合計データ</v>
      </c>
      <c r="J72" s="29" t="str">
        <f>J71</f>
        <v>A11</v>
      </c>
      <c r="K72" s="29" t="str">
        <f>K71</f>
        <v>F40</v>
      </c>
      <c r="L72" s="29">
        <f>L69</f>
        <v>5</v>
      </c>
      <c r="M72" s="29"/>
      <c r="N72" s="29">
        <f>N71</f>
        <v>2</v>
      </c>
    </row>
    <row r="73" spans="1:14" x14ac:dyDescent="0.45">
      <c r="A73" s="43"/>
      <c r="B73" s="43" t="s">
        <v>43</v>
      </c>
      <c r="C73" s="113" t="e">
        <f ca="1">ROUND(VLOOKUP($A72,INDIRECT($I73&amp;"!"&amp;$J73&amp;":"&amp;$K73),$L73,FALSE)/$H$1,0)</f>
        <v>#N/A</v>
      </c>
      <c r="D73" s="119" t="e">
        <f ca="1">ROUND(VLOOKUP($A72,INDIRECT($I73&amp;"!"&amp;$J73&amp;":"&amp;$K73),$M73,FALSE)/$H$1,0)</f>
        <v>#N/A</v>
      </c>
      <c r="E73" s="115" t="e">
        <f ca="1">VLOOKUP($A72,INDIRECT($I73&amp;"!"&amp;$J73&amp;":"&amp;$K73),$N73,FALSE)</f>
        <v>#N/A</v>
      </c>
      <c r="F73" s="114" t="e">
        <f ca="1">IF(D73=0,"",C73+D73)</f>
        <v>#N/A</v>
      </c>
      <c r="I73" t="str">
        <f>I72</f>
        <v>合計データ</v>
      </c>
      <c r="J73" s="29" t="str">
        <f>J72</f>
        <v>A11</v>
      </c>
      <c r="K73" s="29" t="str">
        <f>K72</f>
        <v>F40</v>
      </c>
      <c r="L73" s="29">
        <f>L70</f>
        <v>4</v>
      </c>
      <c r="M73" s="29">
        <f>M70</f>
        <v>6</v>
      </c>
      <c r="N73" s="29">
        <f>N72</f>
        <v>2</v>
      </c>
    </row>
    <row r="74" spans="1:14" x14ac:dyDescent="0.45">
      <c r="A74" s="43"/>
      <c r="B74" s="43" t="s">
        <v>42</v>
      </c>
      <c r="C74" s="113" t="e">
        <f ca="1">ROUND(VLOOKUP($A72,INDIRECT($I74&amp;"!"&amp;$J74&amp;":"&amp;$K74),$L74,FALSE)/$H$1,0)</f>
        <v>#N/A</v>
      </c>
      <c r="D74" s="119"/>
      <c r="E74" s="115" t="e">
        <f ca="1">VLOOKUP($A72,INDIRECT($I74&amp;"!"&amp;$J74&amp;":"&amp;$K74),$N74,FALSE)</f>
        <v>#N/A</v>
      </c>
      <c r="I74" t="str">
        <f>I73</f>
        <v>合計データ</v>
      </c>
      <c r="J74" s="29" t="str">
        <f>J73</f>
        <v>A11</v>
      </c>
      <c r="K74" s="29" t="str">
        <f>K73</f>
        <v>F40</v>
      </c>
      <c r="L74" s="29">
        <f>L71</f>
        <v>3</v>
      </c>
      <c r="M74" s="29"/>
      <c r="N74" s="29">
        <f>N73</f>
        <v>2</v>
      </c>
    </row>
    <row r="75" spans="1:14" x14ac:dyDescent="0.45">
      <c r="A75" s="43" cm="1">
        <f t="array" aca="1" ref="A75" ca="1">INDIRECT("合計データ!A"&amp;$H75)</f>
        <v>0</v>
      </c>
      <c r="B75" s="43" t="s">
        <v>44</v>
      </c>
      <c r="C75" s="113" t="e">
        <f ca="1">ROUND(VLOOKUP($A75,INDIRECT($I75&amp;"!"&amp;$J75&amp;":"&amp;$K75),$L75,FALSE)/$H$1,0)</f>
        <v>#N/A</v>
      </c>
      <c r="D75" s="119"/>
      <c r="E75" s="115" t="e">
        <f ca="1">VLOOKUP($A75,INDIRECT($I75&amp;"!"&amp;$J75&amp;":"&amp;$K75),$N75,FALSE)</f>
        <v>#N/A</v>
      </c>
      <c r="H75" s="29">
        <f>H72+1</f>
        <v>35</v>
      </c>
      <c r="I75" t="str">
        <f>I74</f>
        <v>合計データ</v>
      </c>
      <c r="J75" s="29" t="str">
        <f>J74</f>
        <v>A11</v>
      </c>
      <c r="K75" s="29" t="str">
        <f>K74</f>
        <v>F40</v>
      </c>
      <c r="L75" s="29">
        <f>L72</f>
        <v>5</v>
      </c>
      <c r="M75" s="29"/>
      <c r="N75" s="29">
        <f>N74</f>
        <v>2</v>
      </c>
    </row>
    <row r="76" spans="1:14" x14ac:dyDescent="0.45">
      <c r="A76" s="43"/>
      <c r="B76" s="43" t="s">
        <v>43</v>
      </c>
      <c r="C76" s="113" t="e">
        <f ca="1">ROUND(VLOOKUP($A75,INDIRECT($I76&amp;"!"&amp;$J76&amp;":"&amp;$K76),$L76,FALSE)/$H$1,0)</f>
        <v>#N/A</v>
      </c>
      <c r="D76" s="119" t="e">
        <f ca="1">ROUND(VLOOKUP($A75,INDIRECT($I76&amp;"!"&amp;$J76&amp;":"&amp;$K76),$M76,FALSE)/$H$1,0)</f>
        <v>#N/A</v>
      </c>
      <c r="E76" s="115" t="e">
        <f ca="1">VLOOKUP($A75,INDIRECT($I76&amp;"!"&amp;$J76&amp;":"&amp;$K76),$N76,FALSE)</f>
        <v>#N/A</v>
      </c>
      <c r="F76" s="114" t="e">
        <f ca="1">IF(D76=0,"",C76+D76)</f>
        <v>#N/A</v>
      </c>
      <c r="I76" t="str">
        <f>I75</f>
        <v>合計データ</v>
      </c>
      <c r="J76" s="29" t="str">
        <f>J75</f>
        <v>A11</v>
      </c>
      <c r="K76" s="29" t="str">
        <f>K75</f>
        <v>F40</v>
      </c>
      <c r="L76" s="29">
        <f>L73</f>
        <v>4</v>
      </c>
      <c r="M76" s="29">
        <f>M73</f>
        <v>6</v>
      </c>
      <c r="N76" s="29">
        <f>N75</f>
        <v>2</v>
      </c>
    </row>
    <row r="77" spans="1:14" x14ac:dyDescent="0.45">
      <c r="A77" s="43"/>
      <c r="B77" s="43" t="s">
        <v>42</v>
      </c>
      <c r="C77" s="113" t="e">
        <f ca="1">ROUND(VLOOKUP($A75,INDIRECT($I77&amp;"!"&amp;$J77&amp;":"&amp;$K77),$L77,FALSE)/$H$1,0)</f>
        <v>#N/A</v>
      </c>
      <c r="D77" s="119"/>
      <c r="E77" s="115" t="e">
        <f ca="1">VLOOKUP($A75,INDIRECT($I77&amp;"!"&amp;$J77&amp;":"&amp;$K77),$N77,FALSE)</f>
        <v>#N/A</v>
      </c>
      <c r="I77" t="str">
        <f>I76</f>
        <v>合計データ</v>
      </c>
      <c r="J77" s="29" t="str">
        <f>J76</f>
        <v>A11</v>
      </c>
      <c r="K77" s="29" t="str">
        <f>K76</f>
        <v>F40</v>
      </c>
      <c r="L77" s="29">
        <f>L74</f>
        <v>3</v>
      </c>
      <c r="M77" s="29"/>
      <c r="N77" s="29">
        <f>N76</f>
        <v>2</v>
      </c>
    </row>
    <row r="78" spans="1:14" x14ac:dyDescent="0.45">
      <c r="A78" s="43" cm="1">
        <f t="array" aca="1" ref="A78" ca="1">INDIRECT("合計データ!A"&amp;$H78)</f>
        <v>0</v>
      </c>
      <c r="B78" s="43" t="s">
        <v>44</v>
      </c>
      <c r="C78" s="113" t="e">
        <f ca="1">ROUND(VLOOKUP($A78,INDIRECT($I78&amp;"!"&amp;$J78&amp;":"&amp;$K78),$L78,FALSE)/$H$1,0)</f>
        <v>#N/A</v>
      </c>
      <c r="D78" s="119"/>
      <c r="E78" s="115" t="e">
        <f ca="1">VLOOKUP($A78,INDIRECT($I78&amp;"!"&amp;$J78&amp;":"&amp;$K78),$N78,FALSE)</f>
        <v>#N/A</v>
      </c>
      <c r="H78" s="29">
        <f>H75+1</f>
        <v>36</v>
      </c>
      <c r="I78" t="str">
        <f>I77</f>
        <v>合計データ</v>
      </c>
      <c r="J78" s="29" t="str">
        <f>J77</f>
        <v>A11</v>
      </c>
      <c r="K78" s="29" t="str">
        <f>K77</f>
        <v>F40</v>
      </c>
      <c r="L78" s="29">
        <f>L75</f>
        <v>5</v>
      </c>
      <c r="M78" s="29"/>
      <c r="N78" s="29">
        <f>N77</f>
        <v>2</v>
      </c>
    </row>
    <row r="79" spans="1:14" x14ac:dyDescent="0.45">
      <c r="A79" s="43"/>
      <c r="B79" s="43" t="s">
        <v>43</v>
      </c>
      <c r="C79" s="113" t="e">
        <f ca="1">ROUND(VLOOKUP($A78,INDIRECT($I79&amp;"!"&amp;$J79&amp;":"&amp;$K79),$L79,FALSE)/$H$1,0)</f>
        <v>#N/A</v>
      </c>
      <c r="D79" s="119" t="e">
        <f ca="1">ROUND(VLOOKUP($A78,INDIRECT($I79&amp;"!"&amp;$J79&amp;":"&amp;$K79),$M79,FALSE)/$H$1,0)</f>
        <v>#N/A</v>
      </c>
      <c r="E79" s="115" t="e">
        <f ca="1">VLOOKUP($A78,INDIRECT($I79&amp;"!"&amp;$J79&amp;":"&amp;$K79),$N79,FALSE)</f>
        <v>#N/A</v>
      </c>
      <c r="F79" s="114" t="e">
        <f ca="1">IF(D79=0,"",C79+D79)</f>
        <v>#N/A</v>
      </c>
      <c r="I79" t="str">
        <f>I78</f>
        <v>合計データ</v>
      </c>
      <c r="J79" s="29" t="str">
        <f>J78</f>
        <v>A11</v>
      </c>
      <c r="K79" s="29" t="str">
        <f>K78</f>
        <v>F40</v>
      </c>
      <c r="L79" s="29">
        <f>L76</f>
        <v>4</v>
      </c>
      <c r="M79" s="29">
        <f>M76</f>
        <v>6</v>
      </c>
      <c r="N79" s="29">
        <f>N78</f>
        <v>2</v>
      </c>
    </row>
    <row r="80" spans="1:14" x14ac:dyDescent="0.45">
      <c r="A80" s="43"/>
      <c r="B80" s="43" t="s">
        <v>42</v>
      </c>
      <c r="C80" s="113" t="e">
        <f ca="1">ROUND(VLOOKUP($A78,INDIRECT($I80&amp;"!"&amp;$J80&amp;":"&amp;$K80),$L80,FALSE)/$H$1,0)</f>
        <v>#N/A</v>
      </c>
      <c r="D80" s="119"/>
      <c r="E80" s="115" t="e">
        <f ca="1">VLOOKUP($A78,INDIRECT($I80&amp;"!"&amp;$J80&amp;":"&amp;$K80),$N80,FALSE)</f>
        <v>#N/A</v>
      </c>
      <c r="I80" t="str">
        <f>I79</f>
        <v>合計データ</v>
      </c>
      <c r="J80" s="29" t="str">
        <f>J79</f>
        <v>A11</v>
      </c>
      <c r="K80" s="29" t="str">
        <f>K79</f>
        <v>F40</v>
      </c>
      <c r="L80" s="29">
        <f>L77</f>
        <v>3</v>
      </c>
      <c r="M80" s="29"/>
      <c r="N80" s="29">
        <f>N79</f>
        <v>2</v>
      </c>
    </row>
    <row r="81" spans="1:14" x14ac:dyDescent="0.45">
      <c r="A81" s="43" cm="1">
        <f t="array" aca="1" ref="A81" ca="1">INDIRECT("合計データ!A"&amp;$H81)</f>
        <v>0</v>
      </c>
      <c r="B81" s="43" t="s">
        <v>44</v>
      </c>
      <c r="C81" s="113" t="e">
        <f ca="1">ROUND(VLOOKUP($A81,INDIRECT($I81&amp;"!"&amp;$J81&amp;":"&amp;$K81),$L81,FALSE)/$H$1,0)</f>
        <v>#N/A</v>
      </c>
      <c r="D81" s="119"/>
      <c r="E81" s="115" t="e">
        <f ca="1">VLOOKUP($A81,INDIRECT($I81&amp;"!"&amp;$J81&amp;":"&amp;$K81),$N81,FALSE)</f>
        <v>#N/A</v>
      </c>
      <c r="H81" s="29">
        <f>H78+1</f>
        <v>37</v>
      </c>
      <c r="I81" t="str">
        <f>I80</f>
        <v>合計データ</v>
      </c>
      <c r="J81" s="29" t="str">
        <f>J80</f>
        <v>A11</v>
      </c>
      <c r="K81" s="29" t="str">
        <f>K80</f>
        <v>F40</v>
      </c>
      <c r="L81" s="29">
        <f>L78</f>
        <v>5</v>
      </c>
      <c r="M81" s="29"/>
      <c r="N81" s="29">
        <f>N80</f>
        <v>2</v>
      </c>
    </row>
    <row r="82" spans="1:14" x14ac:dyDescent="0.45">
      <c r="A82" s="43"/>
      <c r="B82" s="43" t="s">
        <v>43</v>
      </c>
      <c r="C82" s="113" t="e">
        <f ca="1">ROUND(VLOOKUP($A81,INDIRECT($I82&amp;"!"&amp;$J82&amp;":"&amp;$K82),$L82,FALSE)/$H$1,0)</f>
        <v>#N/A</v>
      </c>
      <c r="D82" s="119" t="e">
        <f ca="1">ROUND(VLOOKUP($A81,INDIRECT($I82&amp;"!"&amp;$J82&amp;":"&amp;$K82),$M82,FALSE)/$H$1,0)</f>
        <v>#N/A</v>
      </c>
      <c r="E82" s="115" t="e">
        <f ca="1">VLOOKUP($A81,INDIRECT($I82&amp;"!"&amp;$J82&amp;":"&amp;$K82),$N82,FALSE)</f>
        <v>#N/A</v>
      </c>
      <c r="F82" s="114" t="e">
        <f ca="1">IF(D82=0,"",C82+D82)</f>
        <v>#N/A</v>
      </c>
      <c r="I82" t="str">
        <f>I81</f>
        <v>合計データ</v>
      </c>
      <c r="J82" s="29" t="str">
        <f>J81</f>
        <v>A11</v>
      </c>
      <c r="K82" s="29" t="str">
        <f>K81</f>
        <v>F40</v>
      </c>
      <c r="L82" s="29">
        <f>L79</f>
        <v>4</v>
      </c>
      <c r="M82" s="29">
        <f>M79</f>
        <v>6</v>
      </c>
      <c r="N82" s="29">
        <f>N81</f>
        <v>2</v>
      </c>
    </row>
    <row r="83" spans="1:14" x14ac:dyDescent="0.45">
      <c r="A83" s="43"/>
      <c r="B83" s="43" t="s">
        <v>42</v>
      </c>
      <c r="C83" s="113" t="e">
        <f ca="1">ROUND(VLOOKUP($A81,INDIRECT($I83&amp;"!"&amp;$J83&amp;":"&amp;$K83),$L83,FALSE)/$H$1,0)</f>
        <v>#N/A</v>
      </c>
      <c r="D83" s="119"/>
      <c r="E83" s="115" t="e">
        <f ca="1">VLOOKUP($A81,INDIRECT($I83&amp;"!"&amp;$J83&amp;":"&amp;$K83),$N83,FALSE)</f>
        <v>#N/A</v>
      </c>
      <c r="I83" t="str">
        <f>I82</f>
        <v>合計データ</v>
      </c>
      <c r="J83" s="29" t="str">
        <f>J82</f>
        <v>A11</v>
      </c>
      <c r="K83" s="29" t="str">
        <f>K82</f>
        <v>F40</v>
      </c>
      <c r="L83" s="29">
        <f>L80</f>
        <v>3</v>
      </c>
      <c r="M83" s="29"/>
      <c r="N83" s="29">
        <f>N82</f>
        <v>2</v>
      </c>
    </row>
    <row r="84" spans="1:14" x14ac:dyDescent="0.45">
      <c r="A84" s="43" cm="1">
        <f t="array" aca="1" ref="A84" ca="1">INDIRECT("合計データ!A"&amp;$H84)</f>
        <v>0</v>
      </c>
      <c r="B84" s="43" t="s">
        <v>44</v>
      </c>
      <c r="C84" s="113" t="e">
        <f ca="1">ROUND(VLOOKUP($A84,INDIRECT($I84&amp;"!"&amp;$J84&amp;":"&amp;$K84),$L84,FALSE)/$H$1,0)</f>
        <v>#N/A</v>
      </c>
      <c r="D84" s="119"/>
      <c r="E84" s="115" t="e">
        <f ca="1">VLOOKUP($A84,INDIRECT($I84&amp;"!"&amp;$J84&amp;":"&amp;$K84),$N84,FALSE)</f>
        <v>#N/A</v>
      </c>
      <c r="H84" s="29">
        <f>H81+1</f>
        <v>38</v>
      </c>
      <c r="I84" t="str">
        <f>I83</f>
        <v>合計データ</v>
      </c>
      <c r="J84" s="29" t="str">
        <f>J83</f>
        <v>A11</v>
      </c>
      <c r="K84" s="29" t="str">
        <f>K83</f>
        <v>F40</v>
      </c>
      <c r="L84" s="29">
        <f>L81</f>
        <v>5</v>
      </c>
      <c r="M84" s="29"/>
      <c r="N84" s="29">
        <f>N83</f>
        <v>2</v>
      </c>
    </row>
    <row r="85" spans="1:14" x14ac:dyDescent="0.45">
      <c r="A85" s="43"/>
      <c r="B85" s="43" t="s">
        <v>43</v>
      </c>
      <c r="C85" s="113" t="e">
        <f ca="1">ROUND(VLOOKUP($A84,INDIRECT($I85&amp;"!"&amp;$J85&amp;":"&amp;$K85),$L85,FALSE)/$H$1,0)</f>
        <v>#N/A</v>
      </c>
      <c r="D85" s="119" t="e">
        <f ca="1">ROUND(VLOOKUP($A84,INDIRECT($I85&amp;"!"&amp;$J85&amp;":"&amp;$K85),$M85,FALSE)/$H$1,0)</f>
        <v>#N/A</v>
      </c>
      <c r="E85" s="115" t="e">
        <f ca="1">VLOOKUP($A84,INDIRECT($I85&amp;"!"&amp;$J85&amp;":"&amp;$K85),$N85,FALSE)</f>
        <v>#N/A</v>
      </c>
      <c r="F85" s="114" t="e">
        <f ca="1">IF(D85=0,"",C85+D85)</f>
        <v>#N/A</v>
      </c>
      <c r="I85" t="str">
        <f>I84</f>
        <v>合計データ</v>
      </c>
      <c r="J85" s="29" t="str">
        <f>J84</f>
        <v>A11</v>
      </c>
      <c r="K85" s="29" t="str">
        <f>K84</f>
        <v>F40</v>
      </c>
      <c r="L85" s="29">
        <f>L82</f>
        <v>4</v>
      </c>
      <c r="M85" s="29">
        <f>M82</f>
        <v>6</v>
      </c>
      <c r="N85" s="29">
        <f>N84</f>
        <v>2</v>
      </c>
    </row>
    <row r="86" spans="1:14" x14ac:dyDescent="0.45">
      <c r="A86" s="43"/>
      <c r="B86" s="43" t="s">
        <v>42</v>
      </c>
      <c r="C86" s="113" t="e">
        <f ca="1">ROUND(VLOOKUP($A84,INDIRECT($I86&amp;"!"&amp;$J86&amp;":"&amp;$K86),$L86,FALSE)/$H$1,0)</f>
        <v>#N/A</v>
      </c>
      <c r="D86" s="119"/>
      <c r="E86" s="115" t="e">
        <f ca="1">VLOOKUP($A84,INDIRECT($I86&amp;"!"&amp;$J86&amp;":"&amp;$K86),$N86,FALSE)</f>
        <v>#N/A</v>
      </c>
      <c r="I86" t="str">
        <f>I85</f>
        <v>合計データ</v>
      </c>
      <c r="J86" s="29" t="str">
        <f>J85</f>
        <v>A11</v>
      </c>
      <c r="K86" s="29" t="str">
        <f>K85</f>
        <v>F40</v>
      </c>
      <c r="L86" s="29">
        <f>L83</f>
        <v>3</v>
      </c>
      <c r="M86" s="29"/>
      <c r="N86" s="29">
        <f>N85</f>
        <v>2</v>
      </c>
    </row>
    <row r="87" spans="1:14" x14ac:dyDescent="0.45">
      <c r="A87" s="119" cm="1">
        <f t="array" aca="1" ref="A87" ca="1">INDIRECT("合計データ!A"&amp;$H87)</f>
        <v>0</v>
      </c>
      <c r="B87" s="43" t="s">
        <v>44</v>
      </c>
      <c r="C87" s="113" t="e">
        <f ca="1">ROUND(VLOOKUP($A87,INDIRECT($I87&amp;"!"&amp;$J87&amp;":"&amp;$K87),$L87,FALSE)/$H$1,0)</f>
        <v>#N/A</v>
      </c>
      <c r="D87" s="119"/>
      <c r="E87" s="115" t="e">
        <f ca="1">VLOOKUP($A87,INDIRECT($I87&amp;"!"&amp;$J87&amp;":"&amp;$K87),$N87,FALSE)</f>
        <v>#N/A</v>
      </c>
      <c r="H87" s="29">
        <f>H84+1</f>
        <v>39</v>
      </c>
      <c r="I87" t="str">
        <f>I86</f>
        <v>合計データ</v>
      </c>
      <c r="J87" s="29" t="str">
        <f>J86</f>
        <v>A11</v>
      </c>
      <c r="K87" s="29" t="str">
        <f>K86</f>
        <v>F40</v>
      </c>
      <c r="L87" s="29">
        <f>L84</f>
        <v>5</v>
      </c>
      <c r="M87" s="29"/>
      <c r="N87" s="29">
        <f>N86</f>
        <v>2</v>
      </c>
    </row>
    <row r="88" spans="1:14" x14ac:dyDescent="0.45">
      <c r="A88" s="43"/>
      <c r="B88" s="43" t="s">
        <v>43</v>
      </c>
      <c r="C88" s="113" t="e">
        <f ca="1">ROUND(VLOOKUP($A87,INDIRECT($I88&amp;"!"&amp;$J88&amp;":"&amp;$K88),$L88,FALSE)/$H$1,0)</f>
        <v>#N/A</v>
      </c>
      <c r="D88" s="119" t="e">
        <f ca="1">ROUND(VLOOKUP($A87,INDIRECT($I88&amp;"!"&amp;$J88&amp;":"&amp;$K88),$M88,FALSE)/$H$1,0)</f>
        <v>#N/A</v>
      </c>
      <c r="E88" s="115" t="e">
        <f ca="1">VLOOKUP($A87,INDIRECT($I88&amp;"!"&amp;$J88&amp;":"&amp;$K88),$N88,FALSE)</f>
        <v>#N/A</v>
      </c>
      <c r="F88" s="114" t="e">
        <f ca="1">IF(D88=0,"",C88+D88)</f>
        <v>#N/A</v>
      </c>
      <c r="I88" t="str">
        <f>I87</f>
        <v>合計データ</v>
      </c>
      <c r="J88" s="29" t="str">
        <f>J87</f>
        <v>A11</v>
      </c>
      <c r="K88" s="29" t="str">
        <f>K87</f>
        <v>F40</v>
      </c>
      <c r="L88" s="29">
        <f>L85</f>
        <v>4</v>
      </c>
      <c r="M88" s="29">
        <f>M85</f>
        <v>6</v>
      </c>
      <c r="N88" s="29">
        <f>N87</f>
        <v>2</v>
      </c>
    </row>
    <row r="89" spans="1:14" x14ac:dyDescent="0.45">
      <c r="A89" s="43"/>
      <c r="B89" s="43" t="s">
        <v>42</v>
      </c>
      <c r="C89" s="113" t="e">
        <f ca="1">ROUND(VLOOKUP($A87,INDIRECT($I89&amp;"!"&amp;$J89&amp;":"&amp;$K89),$L89,FALSE)/$H$1,0)</f>
        <v>#N/A</v>
      </c>
      <c r="D89" s="119"/>
      <c r="E89" s="115" t="e">
        <f ca="1">VLOOKUP($A87,INDIRECT($I89&amp;"!"&amp;$J89&amp;":"&amp;$K89),$N89,FALSE)</f>
        <v>#N/A</v>
      </c>
      <c r="I89" t="str">
        <f>I88</f>
        <v>合計データ</v>
      </c>
      <c r="J89" s="29" t="str">
        <f>J88</f>
        <v>A11</v>
      </c>
      <c r="K89" s="29" t="str">
        <f>K88</f>
        <v>F40</v>
      </c>
      <c r="L89" s="29">
        <f>L86</f>
        <v>3</v>
      </c>
      <c r="M89" s="29"/>
      <c r="N89" s="29">
        <f>N88</f>
        <v>2</v>
      </c>
    </row>
    <row r="90" spans="1:14" x14ac:dyDescent="0.45">
      <c r="A90" s="119" cm="1">
        <f t="array" aca="1" ref="A90" ca="1">INDIRECT("合計データ!A"&amp;$H90)</f>
        <v>0</v>
      </c>
      <c r="B90" s="43" t="s">
        <v>44</v>
      </c>
      <c r="C90" s="113" t="e">
        <f ca="1">ROUND(VLOOKUP($A90,INDIRECT($I90&amp;"!"&amp;$J90&amp;":"&amp;$K90),$L90,FALSE)/$H$1,0)</f>
        <v>#N/A</v>
      </c>
      <c r="D90" s="119"/>
      <c r="E90" s="115" t="e">
        <f ca="1">VLOOKUP($A90,INDIRECT($I90&amp;"!"&amp;$J90&amp;":"&amp;$K90),$N90,FALSE)</f>
        <v>#N/A</v>
      </c>
      <c r="H90" s="29">
        <f>H87+1</f>
        <v>40</v>
      </c>
      <c r="I90" t="str">
        <f>I89</f>
        <v>合計データ</v>
      </c>
      <c r="J90" s="29" t="str">
        <f>J89</f>
        <v>A11</v>
      </c>
      <c r="K90" s="29" t="str">
        <f>K89</f>
        <v>F40</v>
      </c>
      <c r="L90" s="29">
        <f>L87</f>
        <v>5</v>
      </c>
      <c r="M90" s="29"/>
      <c r="N90" s="29">
        <f>N89</f>
        <v>2</v>
      </c>
    </row>
    <row r="91" spans="1:14" x14ac:dyDescent="0.45">
      <c r="A91" s="43"/>
      <c r="B91" s="43" t="s">
        <v>43</v>
      </c>
      <c r="C91" s="113" t="e">
        <f ca="1">ROUND(VLOOKUP($A90,INDIRECT($I91&amp;"!"&amp;$J91&amp;":"&amp;$K91),$L91,FALSE)/$H$1,0)</f>
        <v>#N/A</v>
      </c>
      <c r="D91" s="119" t="e">
        <f ca="1">ROUND(VLOOKUP($A90,INDIRECT($I91&amp;"!"&amp;$J91&amp;":"&amp;$K91),$M91,FALSE)/$H$1,0)</f>
        <v>#N/A</v>
      </c>
      <c r="E91" s="115" t="e">
        <f ca="1">VLOOKUP($A90,INDIRECT($I91&amp;"!"&amp;$J91&amp;":"&amp;$K91),$N91,FALSE)</f>
        <v>#N/A</v>
      </c>
      <c r="F91" s="114" t="e">
        <f ca="1">IF(D91=0,"",C91+D91)</f>
        <v>#N/A</v>
      </c>
      <c r="I91" t="str">
        <f>I90</f>
        <v>合計データ</v>
      </c>
      <c r="J91" s="29" t="str">
        <f>J90</f>
        <v>A11</v>
      </c>
      <c r="K91" s="29" t="str">
        <f>K90</f>
        <v>F40</v>
      </c>
      <c r="L91" s="29">
        <f>L88</f>
        <v>4</v>
      </c>
      <c r="M91" s="29">
        <f>M88</f>
        <v>6</v>
      </c>
      <c r="N91" s="29">
        <f>N90</f>
        <v>2</v>
      </c>
    </row>
    <row r="92" spans="1:14" x14ac:dyDescent="0.45">
      <c r="A92" s="43"/>
      <c r="B92" s="43" t="s">
        <v>42</v>
      </c>
      <c r="C92" s="113" t="e">
        <f ca="1">ROUND(VLOOKUP($A90,INDIRECT($I92&amp;"!"&amp;$J92&amp;":"&amp;$K92),$L92,FALSE)/$H$1,0)</f>
        <v>#N/A</v>
      </c>
      <c r="D92" s="119"/>
      <c r="E92" s="115" t="e">
        <f ca="1">VLOOKUP($A90,INDIRECT($I92&amp;"!"&amp;$J92&amp;":"&amp;$K92),$N92,FALSE)</f>
        <v>#N/A</v>
      </c>
      <c r="I92" t="str">
        <f>I91</f>
        <v>合計データ</v>
      </c>
      <c r="J92" s="29" t="str">
        <f>J91</f>
        <v>A11</v>
      </c>
      <c r="K92" s="29" t="str">
        <f>K91</f>
        <v>F40</v>
      </c>
      <c r="L92" s="29">
        <f>L89</f>
        <v>3</v>
      </c>
      <c r="M92" s="29"/>
      <c r="N92" s="29">
        <f>N91</f>
        <v>2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R32"/>
  <sheetViews>
    <sheetView showGridLines="0" zoomScale="80" zoomScaleNormal="80" zoomScaleSheetLayoutView="80" workbookViewId="0">
      <selection activeCell="K2" sqref="K2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7" thickBot="1" x14ac:dyDescent="0.7">
      <c r="A1" s="102" t="str">
        <f>"売上　計画ｘ見込み（" &amp; TEXT(B3, "yyyy年m月") &amp; "）"</f>
        <v>売上　計画ｘ見込み（1900年1月）</v>
      </c>
      <c r="B1" s="102"/>
      <c r="C1" s="102"/>
      <c r="D1" s="102"/>
      <c r="H1" s="104" t="str">
        <f>"稼働率　計画ｘ見込み（" &amp; TEXT(B3, "yyyy年m月") &amp; "）"</f>
        <v>稼働率　計画ｘ見込み（1900年1月）</v>
      </c>
      <c r="I1" s="102"/>
      <c r="J1" s="102"/>
      <c r="K1" s="102"/>
      <c r="Q1" s="1"/>
      <c r="R1" s="1"/>
    </row>
    <row r="2" spans="1:18" ht="25.05" customHeight="1" x14ac:dyDescent="0.45">
      <c r="A2" s="47" t="s">
        <v>12</v>
      </c>
      <c r="B2" s="48" t="s">
        <v>34</v>
      </c>
      <c r="C2" s="49" t="s">
        <v>1</v>
      </c>
      <c r="D2" s="80" t="s">
        <v>36</v>
      </c>
      <c r="E2" s="50" t="s">
        <v>13</v>
      </c>
      <c r="F2" s="43"/>
      <c r="G2" s="44"/>
      <c r="H2" s="47" t="s">
        <v>12</v>
      </c>
      <c r="I2" s="48" t="s">
        <v>34</v>
      </c>
      <c r="J2" s="49" t="s">
        <v>2</v>
      </c>
      <c r="K2" s="120" t="s">
        <v>35</v>
      </c>
      <c r="L2" s="50" t="s">
        <v>14</v>
      </c>
      <c r="M2"/>
      <c r="O2" s="5" t="s">
        <v>9</v>
      </c>
      <c r="P2" s="5" t="s">
        <v>37</v>
      </c>
      <c r="Q2" s="5" t="s">
        <v>8</v>
      </c>
      <c r="R2" s="1"/>
    </row>
    <row r="3" spans="1:18" x14ac:dyDescent="0.45">
      <c r="A3" s="51"/>
      <c r="B3" s="52"/>
      <c r="C3" s="53"/>
      <c r="D3" s="81"/>
      <c r="E3" s="54"/>
      <c r="F3" s="11"/>
      <c r="G3" s="11"/>
      <c r="H3" s="64"/>
      <c r="I3" s="52"/>
      <c r="J3" s="65"/>
      <c r="K3" s="92"/>
      <c r="L3" s="66"/>
      <c r="M3" s="23"/>
      <c r="N3" s="11"/>
      <c r="O3" s="14">
        <f>C3/10000</f>
        <v>0</v>
      </c>
      <c r="P3" s="14">
        <f>D3/10000</f>
        <v>0</v>
      </c>
      <c r="Q3" s="14">
        <f>E3/10000</f>
        <v>0</v>
      </c>
      <c r="R3" s="1"/>
    </row>
    <row r="4" spans="1:18" x14ac:dyDescent="0.45">
      <c r="A4" s="55"/>
      <c r="B4" s="56"/>
      <c r="C4" s="57"/>
      <c r="D4" s="82"/>
      <c r="E4" s="74"/>
      <c r="F4" s="12"/>
      <c r="H4" s="55"/>
      <c r="I4" s="56"/>
      <c r="J4" s="67"/>
      <c r="K4" s="93"/>
      <c r="L4" s="68"/>
      <c r="M4" s="13"/>
      <c r="N4" s="10"/>
      <c r="O4" s="14">
        <f t="shared" ref="O4:O30" si="0">C4/10000</f>
        <v>0</v>
      </c>
      <c r="P4" s="14">
        <f t="shared" ref="P4:P30" si="1">D4/10000</f>
        <v>0</v>
      </c>
      <c r="Q4" s="14">
        <f t="shared" ref="Q4:Q30" si="2">E4/10000</f>
        <v>0</v>
      </c>
      <c r="R4" s="1"/>
    </row>
    <row r="5" spans="1:18" x14ac:dyDescent="0.45">
      <c r="A5" s="59"/>
      <c r="B5" s="52"/>
      <c r="C5" s="53"/>
      <c r="D5" s="83"/>
      <c r="E5" s="54"/>
      <c r="F5" s="12"/>
      <c r="H5" s="59"/>
      <c r="I5" s="52"/>
      <c r="J5" s="69"/>
      <c r="K5" s="94"/>
      <c r="L5" s="70"/>
      <c r="M5" s="13"/>
      <c r="N5" s="10"/>
      <c r="O5" s="14">
        <f t="shared" si="0"/>
        <v>0</v>
      </c>
      <c r="P5" s="14">
        <f t="shared" si="1"/>
        <v>0</v>
      </c>
      <c r="Q5" s="14">
        <f t="shared" si="2"/>
        <v>0</v>
      </c>
      <c r="R5" s="1"/>
    </row>
    <row r="6" spans="1:18" x14ac:dyDescent="0.45">
      <c r="A6" s="55"/>
      <c r="B6" s="56"/>
      <c r="C6" s="57"/>
      <c r="D6" s="82"/>
      <c r="E6" s="74"/>
      <c r="F6" s="12"/>
      <c r="H6" s="55"/>
      <c r="I6" s="56"/>
      <c r="J6" s="67"/>
      <c r="K6" s="93"/>
      <c r="L6" s="68"/>
      <c r="M6" s="13"/>
      <c r="N6" s="10"/>
      <c r="O6" s="14">
        <f t="shared" si="0"/>
        <v>0</v>
      </c>
      <c r="P6" s="14">
        <f t="shared" si="1"/>
        <v>0</v>
      </c>
      <c r="Q6" s="14">
        <f t="shared" si="2"/>
        <v>0</v>
      </c>
      <c r="R6" s="1"/>
    </row>
    <row r="7" spans="1:18" x14ac:dyDescent="0.45">
      <c r="A7" s="59"/>
      <c r="B7" s="52"/>
      <c r="C7" s="53"/>
      <c r="D7" s="83"/>
      <c r="E7" s="54"/>
      <c r="F7" s="12"/>
      <c r="H7" s="59"/>
      <c r="I7" s="52"/>
      <c r="J7" s="69"/>
      <c r="K7" s="94"/>
      <c r="L7" s="70"/>
      <c r="M7" s="13"/>
      <c r="N7"/>
      <c r="O7" s="14">
        <f t="shared" si="0"/>
        <v>0</v>
      </c>
      <c r="P7" s="14">
        <f t="shared" si="1"/>
        <v>0</v>
      </c>
      <c r="Q7" s="14">
        <f t="shared" si="2"/>
        <v>0</v>
      </c>
      <c r="R7" s="1"/>
    </row>
    <row r="8" spans="1:18" x14ac:dyDescent="0.45">
      <c r="A8" s="55"/>
      <c r="B8" s="56"/>
      <c r="C8" s="57"/>
      <c r="D8" s="82"/>
      <c r="E8" s="74"/>
      <c r="F8" s="12"/>
      <c r="H8" s="55"/>
      <c r="I8" s="56"/>
      <c r="J8" s="67"/>
      <c r="K8" s="93"/>
      <c r="L8" s="68"/>
      <c r="M8" s="13"/>
      <c r="N8"/>
      <c r="O8" s="14">
        <f t="shared" si="0"/>
        <v>0</v>
      </c>
      <c r="P8" s="14">
        <f t="shared" si="1"/>
        <v>0</v>
      </c>
      <c r="Q8" s="14">
        <f t="shared" si="2"/>
        <v>0</v>
      </c>
      <c r="R8" s="1"/>
    </row>
    <row r="9" spans="1:18" x14ac:dyDescent="0.45">
      <c r="A9" s="59"/>
      <c r="B9" s="52"/>
      <c r="C9" s="53"/>
      <c r="D9" s="83"/>
      <c r="E9" s="54"/>
      <c r="F9" s="12"/>
      <c r="H9" s="59"/>
      <c r="I9" s="52"/>
      <c r="J9" s="69"/>
      <c r="K9" s="94"/>
      <c r="L9" s="70"/>
      <c r="M9" s="13"/>
      <c r="N9"/>
      <c r="O9" s="14">
        <f t="shared" si="0"/>
        <v>0</v>
      </c>
      <c r="P9" s="14">
        <f t="shared" si="1"/>
        <v>0</v>
      </c>
      <c r="Q9" s="14">
        <f t="shared" si="2"/>
        <v>0</v>
      </c>
      <c r="R9" s="1"/>
    </row>
    <row r="10" spans="1:18" x14ac:dyDescent="0.45">
      <c r="A10" s="55"/>
      <c r="B10" s="56"/>
      <c r="C10" s="57"/>
      <c r="D10" s="82"/>
      <c r="E10" s="74"/>
      <c r="F10" s="12"/>
      <c r="H10" s="55"/>
      <c r="I10" s="56"/>
      <c r="J10" s="67"/>
      <c r="K10" s="93"/>
      <c r="L10" s="68"/>
      <c r="M10" s="13"/>
      <c r="N10"/>
      <c r="O10" s="14">
        <f t="shared" si="0"/>
        <v>0</v>
      </c>
      <c r="P10" s="14">
        <f t="shared" si="1"/>
        <v>0</v>
      </c>
      <c r="Q10" s="14">
        <f t="shared" si="2"/>
        <v>0</v>
      </c>
      <c r="R10" s="1"/>
    </row>
    <row r="11" spans="1:18" x14ac:dyDescent="0.45">
      <c r="A11" s="59"/>
      <c r="B11" s="52"/>
      <c r="C11" s="53"/>
      <c r="D11" s="83"/>
      <c r="E11" s="54"/>
      <c r="F11" s="12"/>
      <c r="H11" s="59"/>
      <c r="I11" s="52"/>
      <c r="J11" s="69"/>
      <c r="K11" s="94"/>
      <c r="L11" s="70"/>
      <c r="M11" s="13"/>
      <c r="N11"/>
      <c r="O11" s="14">
        <f t="shared" si="0"/>
        <v>0</v>
      </c>
      <c r="P11" s="14">
        <f t="shared" si="1"/>
        <v>0</v>
      </c>
      <c r="Q11" s="14">
        <f t="shared" si="2"/>
        <v>0</v>
      </c>
      <c r="R11" s="1"/>
    </row>
    <row r="12" spans="1:18" x14ac:dyDescent="0.45">
      <c r="A12" s="55"/>
      <c r="B12" s="56"/>
      <c r="C12" s="57"/>
      <c r="D12" s="82"/>
      <c r="E12" s="74"/>
      <c r="F12" s="12"/>
      <c r="H12" s="55"/>
      <c r="I12" s="56"/>
      <c r="J12" s="67"/>
      <c r="K12" s="93"/>
      <c r="L12" s="68"/>
      <c r="M12" s="13"/>
      <c r="N12"/>
      <c r="O12" s="14">
        <f t="shared" si="0"/>
        <v>0</v>
      </c>
      <c r="P12" s="14">
        <f t="shared" si="1"/>
        <v>0</v>
      </c>
      <c r="Q12" s="14">
        <f t="shared" si="2"/>
        <v>0</v>
      </c>
      <c r="R12" s="1"/>
    </row>
    <row r="13" spans="1:18" x14ac:dyDescent="0.45">
      <c r="A13" s="59"/>
      <c r="B13" s="52"/>
      <c r="C13" s="53"/>
      <c r="D13" s="83"/>
      <c r="E13" s="54"/>
      <c r="F13" s="12"/>
      <c r="H13" s="59"/>
      <c r="I13" s="52"/>
      <c r="J13" s="69"/>
      <c r="K13" s="94"/>
      <c r="L13" s="70"/>
      <c r="M13" s="13"/>
      <c r="N13"/>
      <c r="O13" s="14">
        <f t="shared" si="0"/>
        <v>0</v>
      </c>
      <c r="P13" s="14">
        <f t="shared" si="1"/>
        <v>0</v>
      </c>
      <c r="Q13" s="14">
        <f t="shared" si="2"/>
        <v>0</v>
      </c>
      <c r="R13" s="1"/>
    </row>
    <row r="14" spans="1:18" x14ac:dyDescent="0.45">
      <c r="A14" s="55"/>
      <c r="B14" s="56"/>
      <c r="C14" s="57"/>
      <c r="D14" s="82"/>
      <c r="E14" s="74"/>
      <c r="F14" s="12"/>
      <c r="H14" s="55"/>
      <c r="I14" s="56"/>
      <c r="J14" s="67"/>
      <c r="K14" s="93"/>
      <c r="L14" s="68"/>
      <c r="M14" s="13"/>
      <c r="N14"/>
      <c r="O14" s="14">
        <f t="shared" si="0"/>
        <v>0</v>
      </c>
      <c r="P14" s="14">
        <f t="shared" si="1"/>
        <v>0</v>
      </c>
      <c r="Q14" s="14">
        <f t="shared" si="2"/>
        <v>0</v>
      </c>
      <c r="R14" s="1"/>
    </row>
    <row r="15" spans="1:18" x14ac:dyDescent="0.45">
      <c r="A15" s="59"/>
      <c r="B15" s="52"/>
      <c r="C15" s="53"/>
      <c r="D15" s="83"/>
      <c r="E15" s="54"/>
      <c r="F15" s="12"/>
      <c r="H15" s="59"/>
      <c r="I15" s="52"/>
      <c r="J15" s="69"/>
      <c r="K15" s="94"/>
      <c r="L15" s="70"/>
      <c r="M15" s="13"/>
      <c r="N15"/>
      <c r="O15" s="14">
        <f t="shared" si="0"/>
        <v>0</v>
      </c>
      <c r="P15" s="14">
        <f t="shared" si="1"/>
        <v>0</v>
      </c>
      <c r="Q15" s="14">
        <f t="shared" si="2"/>
        <v>0</v>
      </c>
      <c r="R15" s="1"/>
    </row>
    <row r="16" spans="1:18" x14ac:dyDescent="0.45">
      <c r="A16" s="55"/>
      <c r="B16" s="56"/>
      <c r="C16" s="57"/>
      <c r="D16" s="82"/>
      <c r="E16" s="74"/>
      <c r="F16" s="12"/>
      <c r="H16" s="55"/>
      <c r="I16" s="56"/>
      <c r="J16" s="67"/>
      <c r="K16" s="93"/>
      <c r="L16" s="68"/>
      <c r="M16" s="13"/>
      <c r="N16"/>
      <c r="O16" s="14">
        <f t="shared" si="0"/>
        <v>0</v>
      </c>
      <c r="P16" s="14">
        <f t="shared" si="1"/>
        <v>0</v>
      </c>
      <c r="Q16" s="14">
        <f t="shared" si="2"/>
        <v>0</v>
      </c>
      <c r="R16" s="1"/>
    </row>
    <row r="17" spans="1:18" x14ac:dyDescent="0.45">
      <c r="A17" s="59"/>
      <c r="B17" s="52"/>
      <c r="C17" s="53"/>
      <c r="D17" s="83"/>
      <c r="E17" s="54"/>
      <c r="F17" s="12"/>
      <c r="H17" s="59"/>
      <c r="I17" s="52"/>
      <c r="J17" s="69"/>
      <c r="K17" s="94"/>
      <c r="L17" s="70"/>
      <c r="M17" s="13"/>
      <c r="N17"/>
      <c r="O17" s="14">
        <f t="shared" si="0"/>
        <v>0</v>
      </c>
      <c r="P17" s="14">
        <f t="shared" si="1"/>
        <v>0</v>
      </c>
      <c r="Q17" s="14">
        <f t="shared" si="2"/>
        <v>0</v>
      </c>
      <c r="R17" s="1"/>
    </row>
    <row r="18" spans="1:18" x14ac:dyDescent="0.45">
      <c r="A18" s="55"/>
      <c r="B18" s="56"/>
      <c r="C18" s="57"/>
      <c r="D18" s="82"/>
      <c r="E18" s="74"/>
      <c r="F18" s="12"/>
      <c r="H18" s="55"/>
      <c r="I18" s="56"/>
      <c r="J18" s="67"/>
      <c r="K18" s="93"/>
      <c r="L18" s="68"/>
      <c r="M18" s="13"/>
      <c r="N18"/>
      <c r="O18" s="14">
        <f t="shared" si="0"/>
        <v>0</v>
      </c>
      <c r="P18" s="14">
        <f t="shared" si="1"/>
        <v>0</v>
      </c>
      <c r="Q18" s="14">
        <f t="shared" si="2"/>
        <v>0</v>
      </c>
      <c r="R18" s="1"/>
    </row>
    <row r="19" spans="1:18" x14ac:dyDescent="0.45">
      <c r="A19" s="59"/>
      <c r="B19" s="52"/>
      <c r="C19" s="53"/>
      <c r="D19" s="83"/>
      <c r="E19" s="54"/>
      <c r="F19" s="12"/>
      <c r="H19" s="59"/>
      <c r="I19" s="52"/>
      <c r="J19" s="69"/>
      <c r="K19" s="94"/>
      <c r="L19" s="70"/>
      <c r="M19" s="13"/>
      <c r="N19"/>
      <c r="O19" s="14">
        <f t="shared" si="0"/>
        <v>0</v>
      </c>
      <c r="P19" s="14">
        <f t="shared" si="1"/>
        <v>0</v>
      </c>
      <c r="Q19" s="14">
        <f t="shared" si="2"/>
        <v>0</v>
      </c>
      <c r="R19" s="1"/>
    </row>
    <row r="20" spans="1:18" x14ac:dyDescent="0.45">
      <c r="A20" s="55"/>
      <c r="B20" s="56"/>
      <c r="C20" s="57"/>
      <c r="D20" s="82"/>
      <c r="E20" s="74"/>
      <c r="F20" s="12"/>
      <c r="H20" s="55"/>
      <c r="I20" s="56"/>
      <c r="J20" s="67"/>
      <c r="K20" s="93"/>
      <c r="L20" s="68"/>
      <c r="M20" s="13"/>
      <c r="N20"/>
      <c r="O20" s="14">
        <f t="shared" si="0"/>
        <v>0</v>
      </c>
      <c r="P20" s="14">
        <f t="shared" si="1"/>
        <v>0</v>
      </c>
      <c r="Q20" s="14">
        <f t="shared" si="2"/>
        <v>0</v>
      </c>
      <c r="R20" s="1"/>
    </row>
    <row r="21" spans="1:18" x14ac:dyDescent="0.45">
      <c r="A21" s="59"/>
      <c r="B21" s="52"/>
      <c r="C21" s="53"/>
      <c r="D21" s="83"/>
      <c r="E21" s="54"/>
      <c r="F21" s="12"/>
      <c r="H21" s="59"/>
      <c r="I21" s="52"/>
      <c r="J21" s="69"/>
      <c r="K21" s="94"/>
      <c r="L21" s="70"/>
      <c r="M21" s="13"/>
      <c r="N21"/>
      <c r="O21" s="14">
        <f t="shared" si="0"/>
        <v>0</v>
      </c>
      <c r="P21" s="14">
        <f t="shared" si="1"/>
        <v>0</v>
      </c>
      <c r="Q21" s="14">
        <f t="shared" si="2"/>
        <v>0</v>
      </c>
      <c r="R21" s="1"/>
    </row>
    <row r="22" spans="1:18" x14ac:dyDescent="0.45">
      <c r="A22" s="55"/>
      <c r="B22" s="56"/>
      <c r="C22" s="57"/>
      <c r="D22" s="82"/>
      <c r="E22" s="74"/>
      <c r="F22" s="12"/>
      <c r="H22" s="55"/>
      <c r="I22" s="56"/>
      <c r="J22" s="67"/>
      <c r="K22" s="93"/>
      <c r="L22" s="68"/>
      <c r="M22" s="13"/>
      <c r="N22"/>
      <c r="O22" s="14">
        <f t="shared" si="0"/>
        <v>0</v>
      </c>
      <c r="P22" s="14">
        <f t="shared" si="1"/>
        <v>0</v>
      </c>
      <c r="Q22" s="14">
        <f t="shared" si="2"/>
        <v>0</v>
      </c>
      <c r="R22" s="1"/>
    </row>
    <row r="23" spans="1:18" x14ac:dyDescent="0.45">
      <c r="A23" s="59"/>
      <c r="B23" s="52"/>
      <c r="C23" s="53"/>
      <c r="D23" s="83"/>
      <c r="E23" s="54"/>
      <c r="F23" s="12"/>
      <c r="H23" s="59"/>
      <c r="I23" s="52"/>
      <c r="J23" s="69"/>
      <c r="K23" s="94"/>
      <c r="L23" s="70"/>
      <c r="M23" s="13"/>
      <c r="N23"/>
      <c r="O23" s="14">
        <f t="shared" si="0"/>
        <v>0</v>
      </c>
      <c r="P23" s="14">
        <f t="shared" si="1"/>
        <v>0</v>
      </c>
      <c r="Q23" s="14">
        <f t="shared" si="2"/>
        <v>0</v>
      </c>
      <c r="R23" s="1"/>
    </row>
    <row r="24" spans="1:18" x14ac:dyDescent="0.45">
      <c r="A24" s="55"/>
      <c r="B24" s="56"/>
      <c r="C24" s="57"/>
      <c r="D24" s="82"/>
      <c r="E24" s="74"/>
      <c r="F24" s="12"/>
      <c r="H24" s="55"/>
      <c r="I24" s="56"/>
      <c r="J24" s="67"/>
      <c r="K24" s="93"/>
      <c r="L24" s="68"/>
      <c r="M24" s="13"/>
      <c r="N24"/>
      <c r="O24" s="14">
        <f t="shared" si="0"/>
        <v>0</v>
      </c>
      <c r="P24" s="14">
        <f t="shared" si="1"/>
        <v>0</v>
      </c>
      <c r="Q24" s="14">
        <f t="shared" si="2"/>
        <v>0</v>
      </c>
      <c r="R24" s="1"/>
    </row>
    <row r="25" spans="1:18" x14ac:dyDescent="0.45">
      <c r="A25" s="59"/>
      <c r="B25" s="52"/>
      <c r="C25" s="53"/>
      <c r="D25" s="83"/>
      <c r="E25" s="54"/>
      <c r="F25" s="12"/>
      <c r="H25" s="59"/>
      <c r="I25" s="52"/>
      <c r="J25" s="69"/>
      <c r="K25" s="94"/>
      <c r="L25" s="70"/>
      <c r="M25" s="13"/>
      <c r="N25"/>
      <c r="O25" s="14">
        <f t="shared" si="0"/>
        <v>0</v>
      </c>
      <c r="P25" s="14">
        <f t="shared" si="1"/>
        <v>0</v>
      </c>
      <c r="Q25" s="14">
        <f t="shared" si="2"/>
        <v>0</v>
      </c>
      <c r="R25" s="1"/>
    </row>
    <row r="26" spans="1:18" x14ac:dyDescent="0.45">
      <c r="A26" s="55"/>
      <c r="B26" s="56"/>
      <c r="C26" s="57"/>
      <c r="D26" s="82"/>
      <c r="E26" s="74"/>
      <c r="F26" s="12"/>
      <c r="H26" s="55"/>
      <c r="I26" s="56"/>
      <c r="J26" s="67"/>
      <c r="K26" s="93"/>
      <c r="L26" s="68"/>
      <c r="M26" s="13"/>
      <c r="N26"/>
      <c r="O26" s="14">
        <f t="shared" si="0"/>
        <v>0</v>
      </c>
      <c r="P26" s="14">
        <f t="shared" si="1"/>
        <v>0</v>
      </c>
      <c r="Q26" s="14">
        <f t="shared" si="2"/>
        <v>0</v>
      </c>
      <c r="R26" s="1"/>
    </row>
    <row r="27" spans="1:18" x14ac:dyDescent="0.45">
      <c r="A27" s="59"/>
      <c r="B27" s="52"/>
      <c r="C27" s="53"/>
      <c r="D27" s="83"/>
      <c r="E27" s="54"/>
      <c r="F27" s="12"/>
      <c r="H27" s="59"/>
      <c r="I27" s="52"/>
      <c r="J27" s="69"/>
      <c r="K27" s="94"/>
      <c r="L27" s="70"/>
      <c r="M27" s="13"/>
      <c r="N27"/>
      <c r="O27" s="14">
        <f t="shared" si="0"/>
        <v>0</v>
      </c>
      <c r="P27" s="14">
        <f t="shared" si="1"/>
        <v>0</v>
      </c>
      <c r="Q27" s="14">
        <f t="shared" si="2"/>
        <v>0</v>
      </c>
      <c r="R27" s="1"/>
    </row>
    <row r="28" spans="1:18" x14ac:dyDescent="0.45">
      <c r="A28" s="55"/>
      <c r="B28" s="56"/>
      <c r="C28" s="57"/>
      <c r="D28" s="82"/>
      <c r="E28" s="74"/>
      <c r="F28" s="12"/>
      <c r="H28" s="55"/>
      <c r="I28" s="56"/>
      <c r="J28" s="67"/>
      <c r="K28" s="93"/>
      <c r="L28" s="68"/>
      <c r="M28" s="13"/>
      <c r="N28"/>
      <c r="O28" s="14">
        <f t="shared" si="0"/>
        <v>0</v>
      </c>
      <c r="P28" s="14">
        <f t="shared" si="1"/>
        <v>0</v>
      </c>
      <c r="Q28" s="14">
        <f t="shared" si="2"/>
        <v>0</v>
      </c>
      <c r="R28" s="1"/>
    </row>
    <row r="29" spans="1:18" x14ac:dyDescent="0.45">
      <c r="A29" s="59"/>
      <c r="B29" s="52"/>
      <c r="C29" s="53"/>
      <c r="D29" s="83"/>
      <c r="E29" s="54"/>
      <c r="F29" s="12"/>
      <c r="H29" s="59"/>
      <c r="I29" s="52"/>
      <c r="J29" s="69"/>
      <c r="K29" s="94"/>
      <c r="L29" s="70"/>
      <c r="M29" s="13"/>
      <c r="N29"/>
      <c r="O29" s="14">
        <f t="shared" si="0"/>
        <v>0</v>
      </c>
      <c r="P29" s="14">
        <f t="shared" si="1"/>
        <v>0</v>
      </c>
      <c r="Q29" s="14">
        <f t="shared" si="2"/>
        <v>0</v>
      </c>
      <c r="R29" s="1"/>
    </row>
    <row r="30" spans="1:18" x14ac:dyDescent="0.45">
      <c r="A30" s="55"/>
      <c r="B30" s="56"/>
      <c r="C30" s="57"/>
      <c r="D30" s="82"/>
      <c r="E30" s="74"/>
      <c r="F30" s="12"/>
      <c r="H30" s="55"/>
      <c r="I30" s="56"/>
      <c r="J30" s="67"/>
      <c r="K30" s="93"/>
      <c r="L30" s="68"/>
      <c r="M30" s="13"/>
      <c r="N30"/>
      <c r="O30" s="14">
        <f t="shared" si="0"/>
        <v>0</v>
      </c>
      <c r="P30" s="14">
        <f t="shared" si="1"/>
        <v>0</v>
      </c>
      <c r="Q30" s="14">
        <f t="shared" si="2"/>
        <v>0</v>
      </c>
      <c r="R30" s="1"/>
    </row>
    <row r="31" spans="1:18" x14ac:dyDescent="0.45">
      <c r="A31" s="59"/>
      <c r="B31" s="59"/>
      <c r="C31" s="61"/>
      <c r="D31" s="84"/>
      <c r="E31" s="62"/>
      <c r="H31" s="59"/>
      <c r="I31" s="71"/>
      <c r="J31" s="59"/>
      <c r="K31" s="95"/>
      <c r="L31" s="72"/>
    </row>
    <row r="32" spans="1:18" ht="18" thickBot="1" x14ac:dyDescent="0.5">
      <c r="A32" s="63"/>
      <c r="B32" s="63"/>
      <c r="C32" s="46"/>
      <c r="D32" s="85"/>
      <c r="E32" s="41"/>
      <c r="H32" s="63"/>
      <c r="I32" s="73"/>
      <c r="J32" s="63"/>
      <c r="K32" s="96"/>
      <c r="L32" s="40"/>
    </row>
  </sheetData>
  <mergeCells count="2">
    <mergeCell ref="A1:D1"/>
    <mergeCell ref="H1:K1"/>
  </mergeCells>
  <phoneticPr fontId="2"/>
  <conditionalFormatting sqref="E3:E32">
    <cfRule type="expression" dxfId="3" priority="1">
      <formula>$E3&lt;0</formula>
    </cfRule>
  </conditionalFormatting>
  <conditionalFormatting sqref="L3:L32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R32"/>
  <sheetViews>
    <sheetView showGridLines="0" zoomScale="80" zoomScaleNormal="80" zoomScaleSheetLayoutView="80" workbookViewId="0">
      <selection activeCell="K2" sqref="K2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7" thickBot="1" x14ac:dyDescent="0.7">
      <c r="A1" s="102" t="str">
        <f>"売上　計画ｘ見込み（" &amp; TEXT(B3, "yyyy年m月") &amp; "）"</f>
        <v>売上　計画ｘ見込み（1900年1月）</v>
      </c>
      <c r="B1" s="102"/>
      <c r="C1" s="102"/>
      <c r="D1" s="102"/>
      <c r="H1" s="104" t="str">
        <f>"稼働率　計画ｘ見込み（" &amp; TEXT(B3, "yyyy年m月") &amp; "）"</f>
        <v>稼働率　計画ｘ見込み（1900年1月）</v>
      </c>
      <c r="I1" s="102"/>
      <c r="J1" s="102"/>
      <c r="K1" s="102"/>
      <c r="Q1" s="1"/>
      <c r="R1" s="1"/>
    </row>
    <row r="2" spans="1:18" ht="25.05" customHeight="1" x14ac:dyDescent="0.45">
      <c r="A2" s="47" t="s">
        <v>12</v>
      </c>
      <c r="B2" s="48" t="s">
        <v>34</v>
      </c>
      <c r="C2" s="49" t="s">
        <v>1</v>
      </c>
      <c r="D2" s="80" t="s">
        <v>36</v>
      </c>
      <c r="E2" s="50" t="s">
        <v>13</v>
      </c>
      <c r="F2" s="43"/>
      <c r="G2" s="44"/>
      <c r="H2" s="47" t="s">
        <v>12</v>
      </c>
      <c r="I2" s="48" t="s">
        <v>34</v>
      </c>
      <c r="J2" s="49" t="s">
        <v>2</v>
      </c>
      <c r="K2" s="120" t="s">
        <v>35</v>
      </c>
      <c r="L2" s="50" t="s">
        <v>14</v>
      </c>
      <c r="M2"/>
      <c r="O2" s="5" t="s">
        <v>9</v>
      </c>
      <c r="P2" s="5" t="s">
        <v>37</v>
      </c>
      <c r="Q2" s="5" t="s">
        <v>8</v>
      </c>
      <c r="R2" s="1"/>
    </row>
    <row r="3" spans="1:18" x14ac:dyDescent="0.45">
      <c r="A3" s="51"/>
      <c r="B3" s="52"/>
      <c r="C3" s="53"/>
      <c r="D3" s="81"/>
      <c r="E3" s="54"/>
      <c r="F3" s="11"/>
      <c r="G3" s="11"/>
      <c r="H3" s="64"/>
      <c r="I3" s="52"/>
      <c r="J3" s="65"/>
      <c r="K3" s="92"/>
      <c r="L3" s="66"/>
      <c r="M3" s="23"/>
      <c r="N3" s="11"/>
      <c r="O3" s="14">
        <f>C3/10000</f>
        <v>0</v>
      </c>
      <c r="P3" s="14">
        <f>D3/10000</f>
        <v>0</v>
      </c>
      <c r="Q3" s="14">
        <f>E3/10000</f>
        <v>0</v>
      </c>
      <c r="R3" s="1"/>
    </row>
    <row r="4" spans="1:18" x14ac:dyDescent="0.45">
      <c r="A4" s="55"/>
      <c r="B4" s="56"/>
      <c r="C4" s="57"/>
      <c r="D4" s="82"/>
      <c r="E4" s="58"/>
      <c r="F4" s="12"/>
      <c r="H4" s="55"/>
      <c r="I4" s="56"/>
      <c r="J4" s="67"/>
      <c r="K4" s="93"/>
      <c r="L4" s="68"/>
      <c r="M4" s="13"/>
      <c r="N4" s="10"/>
      <c r="O4" s="14">
        <f t="shared" ref="O4:Q30" si="0">C4/10000</f>
        <v>0</v>
      </c>
      <c r="P4" s="14">
        <f t="shared" si="0"/>
        <v>0</v>
      </c>
      <c r="Q4" s="14">
        <f t="shared" si="0"/>
        <v>0</v>
      </c>
      <c r="R4" s="1"/>
    </row>
    <row r="5" spans="1:18" x14ac:dyDescent="0.45">
      <c r="A5" s="59"/>
      <c r="B5" s="52"/>
      <c r="C5" s="53"/>
      <c r="D5" s="83"/>
      <c r="E5" s="60"/>
      <c r="F5" s="12"/>
      <c r="H5" s="59"/>
      <c r="I5" s="52"/>
      <c r="J5" s="69"/>
      <c r="K5" s="94"/>
      <c r="L5" s="70"/>
      <c r="M5" s="13"/>
      <c r="N5" s="10"/>
      <c r="O5" s="14">
        <f t="shared" si="0"/>
        <v>0</v>
      </c>
      <c r="P5" s="14">
        <f t="shared" si="0"/>
        <v>0</v>
      </c>
      <c r="Q5" s="14">
        <f t="shared" si="0"/>
        <v>0</v>
      </c>
      <c r="R5" s="1"/>
    </row>
    <row r="6" spans="1:18" x14ac:dyDescent="0.45">
      <c r="A6" s="55"/>
      <c r="B6" s="56"/>
      <c r="C6" s="57"/>
      <c r="D6" s="82"/>
      <c r="E6" s="58"/>
      <c r="F6" s="12"/>
      <c r="H6" s="55"/>
      <c r="I6" s="56"/>
      <c r="J6" s="67"/>
      <c r="K6" s="93"/>
      <c r="L6" s="68"/>
      <c r="M6" s="13"/>
      <c r="N6" s="10"/>
      <c r="O6" s="14">
        <f t="shared" si="0"/>
        <v>0</v>
      </c>
      <c r="P6" s="14">
        <f t="shared" si="0"/>
        <v>0</v>
      </c>
      <c r="Q6" s="14">
        <f t="shared" si="0"/>
        <v>0</v>
      </c>
      <c r="R6" s="1"/>
    </row>
    <row r="7" spans="1:18" x14ac:dyDescent="0.45">
      <c r="A7" s="59"/>
      <c r="B7" s="52"/>
      <c r="C7" s="53"/>
      <c r="D7" s="83"/>
      <c r="E7" s="60"/>
      <c r="F7" s="12"/>
      <c r="H7" s="59"/>
      <c r="I7" s="52"/>
      <c r="J7" s="69"/>
      <c r="K7" s="94"/>
      <c r="L7" s="70"/>
      <c r="M7" s="13"/>
      <c r="N7"/>
      <c r="O7" s="14">
        <f t="shared" si="0"/>
        <v>0</v>
      </c>
      <c r="P7" s="14">
        <f t="shared" si="0"/>
        <v>0</v>
      </c>
      <c r="Q7" s="14">
        <f t="shared" si="0"/>
        <v>0</v>
      </c>
      <c r="R7" s="1"/>
    </row>
    <row r="8" spans="1:18" x14ac:dyDescent="0.45">
      <c r="A8" s="55"/>
      <c r="B8" s="56"/>
      <c r="C8" s="57"/>
      <c r="D8" s="82"/>
      <c r="E8" s="58"/>
      <c r="F8" s="12"/>
      <c r="H8" s="55"/>
      <c r="I8" s="56"/>
      <c r="J8" s="67"/>
      <c r="K8" s="93"/>
      <c r="L8" s="68"/>
      <c r="M8" s="13"/>
      <c r="N8"/>
      <c r="O8" s="14">
        <f t="shared" si="0"/>
        <v>0</v>
      </c>
      <c r="P8" s="14">
        <f t="shared" si="0"/>
        <v>0</v>
      </c>
      <c r="Q8" s="14">
        <f t="shared" si="0"/>
        <v>0</v>
      </c>
      <c r="R8" s="1"/>
    </row>
    <row r="9" spans="1:18" x14ac:dyDescent="0.45">
      <c r="A9" s="59"/>
      <c r="B9" s="52"/>
      <c r="C9" s="53"/>
      <c r="D9" s="83"/>
      <c r="E9" s="60"/>
      <c r="F9" s="12"/>
      <c r="H9" s="59"/>
      <c r="I9" s="52"/>
      <c r="J9" s="69"/>
      <c r="K9" s="94"/>
      <c r="L9" s="70"/>
      <c r="M9" s="13"/>
      <c r="N9"/>
      <c r="O9" s="14">
        <f t="shared" si="0"/>
        <v>0</v>
      </c>
      <c r="P9" s="14">
        <f t="shared" si="0"/>
        <v>0</v>
      </c>
      <c r="Q9" s="14">
        <f t="shared" si="0"/>
        <v>0</v>
      </c>
      <c r="R9" s="1"/>
    </row>
    <row r="10" spans="1:18" x14ac:dyDescent="0.45">
      <c r="A10" s="55"/>
      <c r="B10" s="56"/>
      <c r="C10" s="57"/>
      <c r="D10" s="82"/>
      <c r="E10" s="58"/>
      <c r="F10" s="12"/>
      <c r="H10" s="55"/>
      <c r="I10" s="56"/>
      <c r="J10" s="67"/>
      <c r="K10" s="93"/>
      <c r="L10" s="68"/>
      <c r="M10" s="13"/>
      <c r="N10"/>
      <c r="O10" s="14">
        <f t="shared" si="0"/>
        <v>0</v>
      </c>
      <c r="P10" s="14">
        <f t="shared" si="0"/>
        <v>0</v>
      </c>
      <c r="Q10" s="14">
        <f t="shared" si="0"/>
        <v>0</v>
      </c>
      <c r="R10" s="1"/>
    </row>
    <row r="11" spans="1:18" x14ac:dyDescent="0.45">
      <c r="A11" s="59"/>
      <c r="B11" s="52"/>
      <c r="C11" s="53"/>
      <c r="D11" s="83"/>
      <c r="E11" s="60"/>
      <c r="F11" s="12"/>
      <c r="H11" s="59"/>
      <c r="I11" s="52"/>
      <c r="J11" s="69"/>
      <c r="K11" s="94"/>
      <c r="L11" s="70"/>
      <c r="M11" s="13"/>
      <c r="N11"/>
      <c r="O11" s="14">
        <f t="shared" si="0"/>
        <v>0</v>
      </c>
      <c r="P11" s="14">
        <f t="shared" si="0"/>
        <v>0</v>
      </c>
      <c r="Q11" s="14">
        <f t="shared" si="0"/>
        <v>0</v>
      </c>
      <c r="R11" s="1"/>
    </row>
    <row r="12" spans="1:18" x14ac:dyDescent="0.45">
      <c r="A12" s="55"/>
      <c r="B12" s="56"/>
      <c r="C12" s="57"/>
      <c r="D12" s="82"/>
      <c r="E12" s="58"/>
      <c r="F12" s="12"/>
      <c r="H12" s="55"/>
      <c r="I12" s="56"/>
      <c r="J12" s="67"/>
      <c r="K12" s="93"/>
      <c r="L12" s="68"/>
      <c r="M12" s="13"/>
      <c r="N12"/>
      <c r="O12" s="14">
        <f t="shared" si="0"/>
        <v>0</v>
      </c>
      <c r="P12" s="14">
        <f t="shared" si="0"/>
        <v>0</v>
      </c>
      <c r="Q12" s="14">
        <f t="shared" si="0"/>
        <v>0</v>
      </c>
      <c r="R12" s="1"/>
    </row>
    <row r="13" spans="1:18" x14ac:dyDescent="0.45">
      <c r="A13" s="59"/>
      <c r="B13" s="52"/>
      <c r="C13" s="53"/>
      <c r="D13" s="83"/>
      <c r="E13" s="60"/>
      <c r="F13" s="12"/>
      <c r="H13" s="59"/>
      <c r="I13" s="52"/>
      <c r="J13" s="69"/>
      <c r="K13" s="94"/>
      <c r="L13" s="70"/>
      <c r="M13" s="13"/>
      <c r="N13"/>
      <c r="O13" s="14">
        <f t="shared" si="0"/>
        <v>0</v>
      </c>
      <c r="P13" s="14">
        <f t="shared" si="0"/>
        <v>0</v>
      </c>
      <c r="Q13" s="14">
        <f t="shared" si="0"/>
        <v>0</v>
      </c>
      <c r="R13" s="1"/>
    </row>
    <row r="14" spans="1:18" x14ac:dyDescent="0.45">
      <c r="A14" s="55"/>
      <c r="B14" s="56"/>
      <c r="C14" s="57"/>
      <c r="D14" s="82"/>
      <c r="E14" s="58"/>
      <c r="F14" s="12"/>
      <c r="H14" s="55"/>
      <c r="I14" s="56"/>
      <c r="J14" s="67"/>
      <c r="K14" s="93"/>
      <c r="L14" s="68"/>
      <c r="M14" s="13"/>
      <c r="N14"/>
      <c r="O14" s="14">
        <f t="shared" si="0"/>
        <v>0</v>
      </c>
      <c r="P14" s="14">
        <f t="shared" si="0"/>
        <v>0</v>
      </c>
      <c r="Q14" s="14">
        <f t="shared" si="0"/>
        <v>0</v>
      </c>
      <c r="R14" s="1"/>
    </row>
    <row r="15" spans="1:18" x14ac:dyDescent="0.45">
      <c r="A15" s="59"/>
      <c r="B15" s="52"/>
      <c r="C15" s="53"/>
      <c r="D15" s="83"/>
      <c r="E15" s="60"/>
      <c r="F15" s="12"/>
      <c r="H15" s="59"/>
      <c r="I15" s="52"/>
      <c r="J15" s="69"/>
      <c r="K15" s="94"/>
      <c r="L15" s="70"/>
      <c r="M15" s="13"/>
      <c r="N15"/>
      <c r="O15" s="14">
        <f t="shared" si="0"/>
        <v>0</v>
      </c>
      <c r="P15" s="14">
        <f t="shared" si="0"/>
        <v>0</v>
      </c>
      <c r="Q15" s="14">
        <f t="shared" si="0"/>
        <v>0</v>
      </c>
      <c r="R15" s="1"/>
    </row>
    <row r="16" spans="1:18" x14ac:dyDescent="0.45">
      <c r="A16" s="55"/>
      <c r="B16" s="56"/>
      <c r="C16" s="57"/>
      <c r="D16" s="82"/>
      <c r="E16" s="58"/>
      <c r="F16" s="12"/>
      <c r="H16" s="55"/>
      <c r="I16" s="56"/>
      <c r="J16" s="67"/>
      <c r="K16" s="93"/>
      <c r="L16" s="68"/>
      <c r="M16" s="13"/>
      <c r="N16"/>
      <c r="O16" s="14">
        <f t="shared" si="0"/>
        <v>0</v>
      </c>
      <c r="P16" s="14">
        <f t="shared" si="0"/>
        <v>0</v>
      </c>
      <c r="Q16" s="14">
        <f t="shared" si="0"/>
        <v>0</v>
      </c>
      <c r="R16" s="1"/>
    </row>
    <row r="17" spans="1:18" x14ac:dyDescent="0.45">
      <c r="A17" s="59"/>
      <c r="B17" s="52"/>
      <c r="C17" s="53"/>
      <c r="D17" s="83"/>
      <c r="E17" s="60"/>
      <c r="F17" s="12"/>
      <c r="H17" s="59"/>
      <c r="I17" s="52"/>
      <c r="J17" s="69"/>
      <c r="K17" s="94"/>
      <c r="L17" s="70"/>
      <c r="M17" s="13"/>
      <c r="N17"/>
      <c r="O17" s="14">
        <f t="shared" si="0"/>
        <v>0</v>
      </c>
      <c r="P17" s="14">
        <f t="shared" si="0"/>
        <v>0</v>
      </c>
      <c r="Q17" s="14">
        <f t="shared" si="0"/>
        <v>0</v>
      </c>
      <c r="R17" s="1"/>
    </row>
    <row r="18" spans="1:18" x14ac:dyDescent="0.45">
      <c r="A18" s="55"/>
      <c r="B18" s="56"/>
      <c r="C18" s="57"/>
      <c r="D18" s="82"/>
      <c r="E18" s="58"/>
      <c r="F18" s="12"/>
      <c r="H18" s="55"/>
      <c r="I18" s="56"/>
      <c r="J18" s="67"/>
      <c r="K18" s="93"/>
      <c r="L18" s="68"/>
      <c r="M18" s="13"/>
      <c r="N18"/>
      <c r="O18" s="14">
        <f t="shared" si="0"/>
        <v>0</v>
      </c>
      <c r="P18" s="14">
        <f t="shared" si="0"/>
        <v>0</v>
      </c>
      <c r="Q18" s="14">
        <f t="shared" si="0"/>
        <v>0</v>
      </c>
      <c r="R18" s="1"/>
    </row>
    <row r="19" spans="1:18" x14ac:dyDescent="0.45">
      <c r="A19" s="59"/>
      <c r="B19" s="52"/>
      <c r="C19" s="53"/>
      <c r="D19" s="83"/>
      <c r="E19" s="60"/>
      <c r="F19" s="12"/>
      <c r="H19" s="59"/>
      <c r="I19" s="52"/>
      <c r="J19" s="69"/>
      <c r="K19" s="94"/>
      <c r="L19" s="70"/>
      <c r="M19" s="13"/>
      <c r="N19"/>
      <c r="O19" s="14">
        <f t="shared" si="0"/>
        <v>0</v>
      </c>
      <c r="P19" s="14">
        <f t="shared" si="0"/>
        <v>0</v>
      </c>
      <c r="Q19" s="14">
        <f t="shared" si="0"/>
        <v>0</v>
      </c>
      <c r="R19" s="1"/>
    </row>
    <row r="20" spans="1:18" x14ac:dyDescent="0.45">
      <c r="A20" s="55"/>
      <c r="B20" s="56"/>
      <c r="C20" s="57"/>
      <c r="D20" s="82"/>
      <c r="E20" s="58"/>
      <c r="F20" s="12"/>
      <c r="H20" s="55"/>
      <c r="I20" s="56"/>
      <c r="J20" s="67"/>
      <c r="K20" s="93"/>
      <c r="L20" s="68"/>
      <c r="M20" s="13"/>
      <c r="N20"/>
      <c r="O20" s="14">
        <f t="shared" si="0"/>
        <v>0</v>
      </c>
      <c r="P20" s="14">
        <f t="shared" si="0"/>
        <v>0</v>
      </c>
      <c r="Q20" s="14">
        <f t="shared" si="0"/>
        <v>0</v>
      </c>
      <c r="R20" s="1"/>
    </row>
    <row r="21" spans="1:18" x14ac:dyDescent="0.45">
      <c r="A21" s="59"/>
      <c r="B21" s="52"/>
      <c r="C21" s="53"/>
      <c r="D21" s="83"/>
      <c r="E21" s="60"/>
      <c r="F21" s="12"/>
      <c r="H21" s="59"/>
      <c r="I21" s="52"/>
      <c r="J21" s="69"/>
      <c r="K21" s="94"/>
      <c r="L21" s="70"/>
      <c r="M21" s="13"/>
      <c r="N21"/>
      <c r="O21" s="14">
        <f t="shared" si="0"/>
        <v>0</v>
      </c>
      <c r="P21" s="14">
        <f t="shared" si="0"/>
        <v>0</v>
      </c>
      <c r="Q21" s="14">
        <f t="shared" si="0"/>
        <v>0</v>
      </c>
      <c r="R21" s="1"/>
    </row>
    <row r="22" spans="1:18" x14ac:dyDescent="0.45">
      <c r="A22" s="55"/>
      <c r="B22" s="56"/>
      <c r="C22" s="57"/>
      <c r="D22" s="82"/>
      <c r="E22" s="58"/>
      <c r="F22" s="12"/>
      <c r="H22" s="55"/>
      <c r="I22" s="56"/>
      <c r="J22" s="67"/>
      <c r="K22" s="93"/>
      <c r="L22" s="68"/>
      <c r="M22" s="13"/>
      <c r="N22"/>
      <c r="O22" s="14">
        <f t="shared" si="0"/>
        <v>0</v>
      </c>
      <c r="P22" s="14">
        <f t="shared" si="0"/>
        <v>0</v>
      </c>
      <c r="Q22" s="14">
        <f t="shared" si="0"/>
        <v>0</v>
      </c>
      <c r="R22" s="1"/>
    </row>
    <row r="23" spans="1:18" x14ac:dyDescent="0.45">
      <c r="A23" s="59"/>
      <c r="B23" s="52"/>
      <c r="C23" s="53"/>
      <c r="D23" s="83"/>
      <c r="E23" s="60"/>
      <c r="F23" s="12"/>
      <c r="H23" s="59"/>
      <c r="I23" s="52"/>
      <c r="J23" s="69"/>
      <c r="K23" s="94"/>
      <c r="L23" s="70"/>
      <c r="M23" s="13"/>
      <c r="N23"/>
      <c r="O23" s="14">
        <f t="shared" si="0"/>
        <v>0</v>
      </c>
      <c r="P23" s="14">
        <f t="shared" si="0"/>
        <v>0</v>
      </c>
      <c r="Q23" s="14">
        <f t="shared" si="0"/>
        <v>0</v>
      </c>
      <c r="R23" s="1"/>
    </row>
    <row r="24" spans="1:18" x14ac:dyDescent="0.45">
      <c r="A24" s="55"/>
      <c r="B24" s="56"/>
      <c r="C24" s="57"/>
      <c r="D24" s="82"/>
      <c r="E24" s="58"/>
      <c r="F24" s="12"/>
      <c r="H24" s="55"/>
      <c r="I24" s="56"/>
      <c r="J24" s="67"/>
      <c r="K24" s="93"/>
      <c r="L24" s="68"/>
      <c r="M24" s="13"/>
      <c r="N24"/>
      <c r="O24" s="14">
        <f t="shared" si="0"/>
        <v>0</v>
      </c>
      <c r="P24" s="14">
        <f t="shared" si="0"/>
        <v>0</v>
      </c>
      <c r="Q24" s="14">
        <f t="shared" si="0"/>
        <v>0</v>
      </c>
      <c r="R24" s="1"/>
    </row>
    <row r="25" spans="1:18" x14ac:dyDescent="0.45">
      <c r="A25" s="59"/>
      <c r="B25" s="52"/>
      <c r="C25" s="53"/>
      <c r="D25" s="83"/>
      <c r="E25" s="60"/>
      <c r="F25" s="12"/>
      <c r="H25" s="59"/>
      <c r="I25" s="52"/>
      <c r="J25" s="69"/>
      <c r="K25" s="94"/>
      <c r="L25" s="70"/>
      <c r="M25" s="13"/>
      <c r="N25"/>
      <c r="O25" s="14">
        <f t="shared" si="0"/>
        <v>0</v>
      </c>
      <c r="P25" s="14">
        <f t="shared" si="0"/>
        <v>0</v>
      </c>
      <c r="Q25" s="14">
        <f t="shared" si="0"/>
        <v>0</v>
      </c>
      <c r="R25" s="1"/>
    </row>
    <row r="26" spans="1:18" x14ac:dyDescent="0.45">
      <c r="A26" s="55"/>
      <c r="B26" s="56"/>
      <c r="C26" s="57"/>
      <c r="D26" s="82"/>
      <c r="E26" s="58"/>
      <c r="F26" s="12"/>
      <c r="H26" s="55"/>
      <c r="I26" s="56"/>
      <c r="J26" s="67"/>
      <c r="K26" s="93"/>
      <c r="L26" s="68"/>
      <c r="M26" s="13"/>
      <c r="N26"/>
      <c r="O26" s="14">
        <f t="shared" si="0"/>
        <v>0</v>
      </c>
      <c r="P26" s="14">
        <f t="shared" si="0"/>
        <v>0</v>
      </c>
      <c r="Q26" s="14">
        <f t="shared" si="0"/>
        <v>0</v>
      </c>
      <c r="R26" s="1"/>
    </row>
    <row r="27" spans="1:18" x14ac:dyDescent="0.45">
      <c r="A27" s="59"/>
      <c r="B27" s="52"/>
      <c r="C27" s="53"/>
      <c r="D27" s="83"/>
      <c r="E27" s="60"/>
      <c r="F27" s="12"/>
      <c r="H27" s="59"/>
      <c r="I27" s="52"/>
      <c r="J27" s="69"/>
      <c r="K27" s="94"/>
      <c r="L27" s="70"/>
      <c r="M27" s="13"/>
      <c r="N27"/>
      <c r="O27" s="14">
        <f t="shared" si="0"/>
        <v>0</v>
      </c>
      <c r="P27" s="14">
        <f t="shared" si="0"/>
        <v>0</v>
      </c>
      <c r="Q27" s="14">
        <f t="shared" si="0"/>
        <v>0</v>
      </c>
      <c r="R27" s="1"/>
    </row>
    <row r="28" spans="1:18" x14ac:dyDescent="0.45">
      <c r="A28" s="55"/>
      <c r="B28" s="56"/>
      <c r="C28" s="57"/>
      <c r="D28" s="82"/>
      <c r="E28" s="58"/>
      <c r="F28" s="12"/>
      <c r="H28" s="55"/>
      <c r="I28" s="56"/>
      <c r="J28" s="67"/>
      <c r="K28" s="93"/>
      <c r="L28" s="68"/>
      <c r="M28" s="13"/>
      <c r="N28"/>
      <c r="O28" s="14">
        <f t="shared" si="0"/>
        <v>0</v>
      </c>
      <c r="P28" s="14">
        <f t="shared" si="0"/>
        <v>0</v>
      </c>
      <c r="Q28" s="14">
        <f t="shared" si="0"/>
        <v>0</v>
      </c>
      <c r="R28" s="1"/>
    </row>
    <row r="29" spans="1:18" x14ac:dyDescent="0.45">
      <c r="A29" s="59"/>
      <c r="B29" s="52"/>
      <c r="C29" s="53"/>
      <c r="D29" s="83"/>
      <c r="E29" s="60"/>
      <c r="F29" s="12"/>
      <c r="H29" s="59"/>
      <c r="I29" s="52"/>
      <c r="J29" s="69"/>
      <c r="K29" s="94"/>
      <c r="L29" s="70"/>
      <c r="M29" s="13"/>
      <c r="N29"/>
      <c r="O29" s="14">
        <f t="shared" si="0"/>
        <v>0</v>
      </c>
      <c r="P29" s="14">
        <f t="shared" si="0"/>
        <v>0</v>
      </c>
      <c r="Q29" s="14">
        <f t="shared" si="0"/>
        <v>0</v>
      </c>
      <c r="R29" s="1"/>
    </row>
    <row r="30" spans="1:18" x14ac:dyDescent="0.45">
      <c r="A30" s="55"/>
      <c r="B30" s="56"/>
      <c r="C30" s="57"/>
      <c r="D30" s="82"/>
      <c r="E30" s="58"/>
      <c r="F30" s="12"/>
      <c r="H30" s="55"/>
      <c r="I30" s="56"/>
      <c r="J30" s="67"/>
      <c r="K30" s="93"/>
      <c r="L30" s="68"/>
      <c r="M30" s="13"/>
      <c r="N30"/>
      <c r="O30" s="14">
        <f t="shared" si="0"/>
        <v>0</v>
      </c>
      <c r="P30" s="14">
        <f t="shared" si="0"/>
        <v>0</v>
      </c>
      <c r="Q30" s="14">
        <f t="shared" si="0"/>
        <v>0</v>
      </c>
      <c r="R30" s="1"/>
    </row>
    <row r="31" spans="1:18" x14ac:dyDescent="0.45">
      <c r="A31" s="59"/>
      <c r="B31" s="59"/>
      <c r="C31" s="61"/>
      <c r="D31" s="84"/>
      <c r="E31" s="62"/>
      <c r="H31" s="59"/>
      <c r="I31" s="71"/>
      <c r="J31" s="59"/>
      <c r="K31" s="95"/>
      <c r="L31" s="72"/>
    </row>
    <row r="32" spans="1:18" ht="18" thickBot="1" x14ac:dyDescent="0.5">
      <c r="A32" s="63"/>
      <c r="B32" s="63"/>
      <c r="C32" s="46"/>
      <c r="D32" s="85"/>
      <c r="E32" s="41"/>
      <c r="H32" s="63"/>
      <c r="I32" s="73"/>
      <c r="J32" s="63"/>
      <c r="K32" s="96"/>
      <c r="L32" s="40"/>
    </row>
  </sheetData>
  <mergeCells count="2">
    <mergeCell ref="A1:D1"/>
    <mergeCell ref="H1:K1"/>
  </mergeCells>
  <phoneticPr fontId="2"/>
  <conditionalFormatting sqref="E3:E32">
    <cfRule type="expression" dxfId="1" priority="1">
      <formula>$E3&lt;0</formula>
    </cfRule>
  </conditionalFormatting>
  <conditionalFormatting sqref="L3:L32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レポート</vt:lpstr>
      <vt:lpstr>合計データ</vt:lpstr>
      <vt:lpstr>積上データ1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2026-01-23T08:00:01Z</dcterms:modified>
  <dc:language>ja-JP</dc:language>
</cp:coreProperties>
</file>