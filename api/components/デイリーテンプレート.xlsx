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7857F651-FE75-40E8-AA10-C7BF94F6BF43}" xr6:coauthVersionLast="47" xr6:coauthVersionMax="47" xr10:uidLastSave="{00000000-0000-0000-0000-000000000000}"/>
  <bookViews>
    <workbookView xWindow="-29520" yWindow="-1155" windowWidth="27060" windowHeight="1789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<sst xmlns="http://schemas.openxmlformats.org/spreadsheetml/2006/main" count="90" uniqueCount="43">
  <si>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</si>
  <si>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</si>
  <si>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</si>
  <si>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</si>
  <si>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</si>
  <si>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</si>
  <si>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</si>
  <si>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</si>
  <si>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</si>
  <si>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</si>
  <si>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</si>
  <si>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</si>
  <si>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</si>
  <si>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</si>
  <si>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</si>
  <si>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</si>
  <si>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</si>
  <si>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</si>
  <si>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</si>
  <si>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</si>
  <si>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</si>
  <si>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</si>
  <si>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</si>
  <si>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</si>
  <si>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</si>
  <si>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</si>
  <si>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</si>
  <si>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</si>
  <si>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</si>
  <si>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</si>
  <si>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</si>
  <si>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</si>
  <si>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</si>
  <si>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</si>
  <si>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</si>
  <si>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</si>
  <si>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</si>
  <si>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</si>
  <si>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</si>
  <si>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</si>
  <si>
    <t>仮売上</t>
    <rPh sb="0" eb="1">
      <t>カリ</t>
    </rPh>
    <rPh sb="1" eb="3">
      <t>ウリアゲ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</si>
  <si>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</si>
  <si>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t>仮予約含む稼働率</t>
    <rPh sb="0" eb="1">
      <t>カリ</t>
    </rPh>
    <rPh sb="1" eb="3">
      <t>ヨヤク</t>
    </rPh>
    <rPh sb="3" eb="4">
      <t>フク</t>
    </rPh>
    <rPh sb="5" eb="8">
      <t>カドウリツ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</si>
</sst>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_ ;[Red]\-0\ "/>
  </numFmts>
  <fonts count="2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</fonts>
  <fills count="1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medium">
        <color theme="4" tint="-0.2499465926084170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 style="medium">
        <color theme="5" tint="-0.2499465926084170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117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41" fontId="6" fillId="0" borderId="1" xfId="1" applyFont="1" applyBorder="1" applyAlignment="1">
      <alignment horizontal="center"/>
    </xf>
    <xf numFmtId="41" fontId="6" fillId="0" borderId="1" xfId="1" applyFont="1" applyBorder="1" applyAlignment="1"/>
    <xf numFmtId="0" fontId="5" fillId="0" borderId="1" xfId="0" applyFont="1" applyBorder="1"/>
    <xf numFmtId="0" fontId="17" fillId="4" borderId="5" xfId="0" applyFont="1" applyFill="1" applyBorder="1"/>
    <xf numFmtId="177" fontId="4" fillId="4" borderId="5" xfId="0" applyNumberFormat="1" applyFont="1" applyFill="1" applyBorder="1"/>
    <xf numFmtId="0" fontId="19" fillId="0" borderId="5" xfId="0" applyFont="1" applyBorder="1"/>
    <xf numFmtId="177" fontId="4" fillId="0" borderId="5" xfId="0" applyNumberFormat="1" applyFont="1" applyBorder="1"/>
    <xf numFmtId="0" fontId="19" fillId="4" borderId="5" xfId="0" applyFont="1" applyFill="1" applyBorder="1"/>
    <xf numFmtId="41" fontId="4" fillId="4" borderId="5" xfId="1" applyFont="1" applyFill="1" applyBorder="1"/>
    <xf numFmtId="41" fontId="4" fillId="0" borderId="5" xfId="1" applyFont="1" applyBorder="1"/>
    <xf numFmtId="178" fontId="4" fillId="0" borderId="5" xfId="1" applyNumberFormat="1" applyFont="1" applyBorder="1"/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5" borderId="5" xfId="0" applyFont="1" applyFill="1" applyBorder="1" applyAlignment="1">
      <alignment horizontal="center" vertical="center"/>
    </xf>
    <xf numFmtId="178" fontId="4" fillId="0" borderId="6" xfId="1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17" fillId="4" borderId="8" xfId="0" applyFont="1" applyFill="1" applyBorder="1"/>
    <xf numFmtId="177" fontId="4" fillId="4" borderId="8" xfId="0" applyNumberFormat="1" applyFont="1" applyFill="1" applyBorder="1"/>
    <xf numFmtId="0" fontId="19" fillId="0" borderId="8" xfId="0" applyFont="1" applyBorder="1"/>
    <xf numFmtId="177" fontId="4" fillId="0" borderId="8" xfId="0" applyNumberFormat="1" applyFont="1" applyBorder="1"/>
    <xf numFmtId="0" fontId="19" fillId="4" borderId="8" xfId="0" applyFont="1" applyFill="1" applyBorder="1"/>
    <xf numFmtId="178" fontId="4" fillId="4" borderId="8" xfId="1" applyNumberFormat="1" applyFont="1" applyFill="1" applyBorder="1"/>
    <xf numFmtId="178" fontId="4" fillId="4" borderId="7" xfId="1" applyNumberFormat="1" applyFont="1" applyFill="1" applyBorder="1"/>
    <xf numFmtId="0" fontId="19" fillId="0" borderId="6" xfId="0" applyFont="1" applyBorder="1"/>
    <xf numFmtId="3" fontId="4" fillId="4" borderId="8" xfId="0" applyNumberFormat="1" applyFont="1" applyFill="1" applyBorder="1"/>
    <xf numFmtId="176" fontId="4" fillId="4" borderId="8" xfId="0" applyNumberFormat="1" applyFont="1" applyFill="1" applyBorder="1"/>
    <xf numFmtId="176" fontId="4" fillId="4" borderId="7" xfId="0" applyNumberFormat="1" applyFont="1" applyFill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176" fontId="4" fillId="4" borderId="8" xfId="3" applyNumberFormat="1" applyFont="1" applyFill="1" applyBorder="1"/>
    <xf numFmtId="176" fontId="4" fillId="4" borderId="7" xfId="3" applyNumberFormat="1" applyFont="1" applyFill="1" applyBorder="1"/>
    <xf numFmtId="41" fontId="4" fillId="4" borderId="8" xfId="1" applyFont="1" applyFill="1" applyBorder="1"/>
    <xf numFmtId="41" fontId="4" fillId="4" borderId="7" xfId="1" applyFont="1" applyFill="1" applyBorder="1"/>
    <xf numFmtId="41" fontId="4" fillId="0" borderId="6" xfId="1" applyFont="1" applyBorder="1"/>
    <xf numFmtId="0" fontId="18" fillId="7" borderId="6" xfId="0" applyFont="1" applyFill="1" applyBorder="1" applyAlignment="1">
      <alignment horizontal="center" vertical="center"/>
    </xf>
    <xf numFmtId="178" fontId="4" fillId="4" borderId="6" xfId="1" applyNumberFormat="1" applyFont="1" applyFill="1" applyBorder="1"/>
    <xf numFmtId="0" fontId="20" fillId="8" borderId="9" xfId="0" applyFont="1" applyFill="1" applyBorder="1" applyAlignment="1">
      <alignment horizontal="center" vertical="center"/>
    </xf>
    <xf numFmtId="178" fontId="19" fillId="4" borderId="9" xfId="0" applyNumberFormat="1" applyFont="1" applyFill="1" applyBorder="1"/>
    <xf numFmtId="178" fontId="19" fillId="0" borderId="9" xfId="0" applyNumberFormat="1" applyFont="1" applyBorder="1"/>
    <xf numFmtId="0" fontId="20" fillId="6" borderId="10" xfId="0" applyFont="1" applyFill="1" applyBorder="1" applyAlignment="1">
      <alignment horizontal="center" vertical="center"/>
    </xf>
    <xf numFmtId="178" fontId="4" fillId="4" borderId="11" xfId="1" applyNumberFormat="1" applyFont="1" applyFill="1" applyBorder="1"/>
    <xf numFmtId="178" fontId="4" fillId="0" borderId="12" xfId="1" applyNumberFormat="1" applyFont="1" applyBorder="1"/>
    <xf numFmtId="0" fontId="20" fillId="8" borderId="13" xfId="0" applyFont="1" applyFill="1" applyBorder="1" applyAlignment="1">
      <alignment horizontal="center" vertical="center"/>
    </xf>
    <xf numFmtId="176" fontId="4" fillId="4" borderId="13" xfId="0" applyNumberFormat="1" applyFont="1" applyFill="1" applyBorder="1"/>
    <xf numFmtId="176" fontId="4" fillId="0" borderId="13" xfId="3" applyNumberFormat="1" applyFont="1" applyBorder="1"/>
    <xf numFmtId="176" fontId="4" fillId="4" borderId="13" xfId="3" applyNumberFormat="1" applyFont="1" applyFill="1" applyBorder="1"/>
    <xf numFmtId="41" fontId="4" fillId="4" borderId="13" xfId="1" applyFont="1" applyFill="1" applyBorder="1"/>
    <xf numFmtId="41" fontId="4" fillId="0" borderId="9" xfId="1" applyFont="1" applyBorder="1"/>
    <xf numFmtId="176" fontId="4" fillId="4" borderId="15" xfId="0" applyNumberFormat="1" applyFont="1" applyFill="1" applyBorder="1"/>
    <xf numFmtId="176" fontId="19" fillId="0" borderId="15" xfId="0" applyNumberFormat="1" applyFont="1" applyBorder="1"/>
    <xf numFmtId="176" fontId="19" fillId="4" borderId="15" xfId="0" applyNumberFormat="1" applyFont="1" applyFill="1" applyBorder="1"/>
    <xf numFmtId="41" fontId="4" fillId="4" borderId="15" xfId="1" applyFont="1" applyFill="1" applyBorder="1"/>
    <xf numFmtId="41" fontId="4" fillId="0" borderId="16" xfId="1" applyFont="1" applyBorder="1"/>
    <xf numFmtId="3" fontId="4" fillId="4" borderId="6" xfId="0" applyNumberFormat="1" applyFont="1" applyFill="1" applyBorder="1"/>
    <xf numFmtId="3" fontId="4" fillId="4" borderId="11" xfId="0" applyNumberFormat="1" applyFont="1" applyFill="1" applyBorder="1"/>
    <xf numFmtId="3" fontId="4" fillId="4" borderId="9" xfId="0" applyNumberFormat="1" applyFont="1" applyFill="1" applyBorder="1"/>
    <xf numFmtId="3" fontId="4" fillId="0" borderId="6" xfId="3" applyNumberFormat="1" applyFont="1" applyBorder="1"/>
    <xf numFmtId="3" fontId="4" fillId="0" borderId="11" xfId="3" applyNumberFormat="1" applyFont="1" applyBorder="1"/>
    <xf numFmtId="3" fontId="4" fillId="0" borderId="9" xfId="0" applyNumberFormat="1" applyFont="1" applyBorder="1"/>
    <xf numFmtId="3" fontId="4" fillId="4" borderId="6" xfId="3" applyNumberFormat="1" applyFont="1" applyFill="1" applyBorder="1"/>
    <xf numFmtId="3" fontId="4" fillId="4" borderId="11" xfId="3" applyNumberFormat="1" applyFont="1" applyFill="1" applyBorder="1"/>
    <xf numFmtId="0" fontId="20" fillId="9" borderId="14" xfId="0" applyFont="1" applyFill="1" applyBorder="1" applyAlignment="1">
      <alignment horizontal="center" vertical="center"/>
    </xf>
    <xf numFmtId="3" fontId="4" fillId="4" borderId="7" xfId="0" applyNumberFormat="1" applyFont="1" applyFill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7" xfId="3" applyNumberFormat="1" applyFont="1" applyBorder="1"/>
    <xf numFmtId="3" fontId="4" fillId="4" borderId="7" xfId="3" applyNumberFormat="1" applyFont="1" applyFill="1" applyBorder="1"/>
    <xf numFmtId="3" fontId="4" fillId="0" borderId="5" xfId="0" applyNumberFormat="1" applyFont="1" applyBorder="1"/>
    <xf numFmtId="0" fontId="3" fillId="0" borderId="5" xfId="0" applyFont="1" applyBorder="1"/>
    <xf numFmtId="0" fontId="6" fillId="10" borderId="5" xfId="0" applyFont="1" applyFill="1" applyBorder="1" applyAlignment="1">
      <alignment horizontal="center" vertical="center"/>
    </xf>
    <xf numFmtId="3" fontId="4" fillId="11" borderId="5" xfId="0" applyNumberFormat="1" applyFont="1" applyFill="1" applyBorder="1"/>
    <xf numFmtId="0" fontId="3" fillId="11" borderId="5" xfId="0" applyFont="1" applyFill="1" applyBorder="1"/>
    <xf numFmtId="176" fontId="4" fillId="0" borderId="5" xfId="3" applyNumberFormat="1" applyFont="1" applyBorder="1"/>
    <xf numFmtId="176" fontId="4" fillId="11" borderId="5" xfId="0" applyNumberFormat="1" applyFont="1" applyFill="1" applyBorder="1"/>
    <xf numFmtId="176" fontId="4" fillId="11" borderId="5" xfId="3" applyNumberFormat="1" applyFont="1" applyFill="1" applyBorder="1"/>
    <xf numFmtId="41" fontId="4" fillId="11" borderId="5" xfId="1" applyFont="1" applyFill="1" applyBorder="1"/>
    <xf numFmtId="0" fontId="5" fillId="12" borderId="5" xfId="0" applyFont="1" applyFill="1" applyBorder="1" applyAlignment="1">
      <alignment vertical="center" shrinkToFi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109" t="str">
        <f ca="1">_xlfn.CONCAT("デイリーレポート - ",TEXT(TODAY(),"yy年mm月dd日"))</f>
        <v>デイリーレポート - 26年01月26日</v>
      </c>
      <c r="B1" s="109"/>
      <c r="C1" s="109"/>
      <c r="D1" s="109"/>
      <c r="E1" s="109"/>
      <c r="F1" s="109"/>
      <c r="G1" s="109"/>
      <c r="H1" s="109"/>
      <c r="I1" s="109"/>
    </row>
    <row r="17" ht="16.5" customHeight="1" x14ac:dyDescent="0.45"/>
    <row r="18" ht="16.5" customHeight="1" x14ac:dyDescent="0.45"/>
    <row r="46" spans="2:8" x14ac:dyDescent="0.45">
      <c r="B46" s="14"/>
      <c r="C46" s="15" t="s">
        <v>19</v>
      </c>
      <c r="D46" s="15" t="s">
        <v>20</v>
      </c>
      <c r="E46" s="15" t="s">
        <v>21</v>
      </c>
      <c r="F46" s="15" t="s">
        <v>22</v>
      </c>
      <c r="G46" s="15" t="s">
        <v>23</v>
      </c>
      <c r="H46" s="15" t="s">
        <v>24</v>
      </c>
    </row>
    <row r="47" spans="2:8" ht="18" x14ac:dyDescent="0.45">
      <c r="B47" s="19" t="s">
        <v>10</v>
      </c>
      <c r="C47" s="20">
        <f>合計データ!W2</f>
        <v>0</v>
      </c>
      <c r="D47" s="20">
        <f>合計データ!X2</f>
        <v>0</v>
      </c>
      <c r="E47" s="20">
        <f>合計データ!Y2</f>
        <v>0</v>
      </c>
      <c r="F47" s="20">
        <f>合計データ!Z2</f>
        <v>0</v>
      </c>
      <c r="G47" s="20">
        <f>合計データ!AA2</f>
        <v>0</v>
      </c>
      <c r="H47" s="20">
        <f>合計データ!AB2</f>
        <v>0</v>
      </c>
    </row>
    <row r="48" spans="2:8" x14ac:dyDescent="0.45">
      <c r="B48" s="24" t="s">
        <v>25</v>
      </c>
      <c r="C48" s="25">
        <f>合計データ!W3</f>
        <v>0</v>
      </c>
      <c r="D48" s="25">
        <f>合計データ!X3</f>
        <v>0</v>
      </c>
      <c r="E48" s="25">
        <f>合計データ!Y3</f>
        <v>0</v>
      </c>
      <c r="F48" s="25">
        <f>合計データ!Z3</f>
        <v>0</v>
      </c>
      <c r="G48" s="25">
        <f>合計データ!AA3</f>
        <v>0</v>
      </c>
      <c r="H48" s="25">
        <f>合計データ!AB3</f>
        <v>0</v>
      </c>
    </row>
    <row r="49" spans="1:9" ht="18" x14ac:dyDescent="0.45">
      <c r="B49" s="19" t="s">
        <v>11</v>
      </c>
      <c r="C49" s="20">
        <f>合計データ!W4</f>
        <v>0</v>
      </c>
      <c r="D49" s="20">
        <f>合計データ!X4</f>
        <v>0</v>
      </c>
      <c r="E49" s="20">
        <f>合計データ!Y4</f>
        <v>0</v>
      </c>
      <c r="F49" s="20">
        <f>合計データ!Z4</f>
        <v>0</v>
      </c>
      <c r="G49" s="20">
        <f>合計データ!AA4</f>
        <v>0</v>
      </c>
      <c r="H49" s="20">
        <f>合計データ!AB4</f>
        <v>0</v>
      </c>
    </row>
    <row r="50" spans="1:9" x14ac:dyDescent="0.45">
      <c r="B50" s="24" t="s">
        <v>25</v>
      </c>
      <c r="C50" s="25">
        <f>合計データ!W5</f>
        <v>0</v>
      </c>
      <c r="D50" s="25">
        <f>合計データ!X5</f>
        <v>0</v>
      </c>
      <c r="E50" s="25">
        <f>合計データ!Y5</f>
        <v>0</v>
      </c>
      <c r="F50" s="25">
        <f>合計データ!Z5</f>
        <v>0</v>
      </c>
      <c r="G50" s="25">
        <f>合計データ!AA5</f>
        <v>0</v>
      </c>
      <c r="H50" s="25">
        <f>合計データ!AB5</f>
        <v>0</v>
      </c>
    </row>
    <row r="51" spans="1:9" x14ac:dyDescent="0.45">
      <c r="B51" s="18"/>
      <c r="C51" s="21"/>
      <c r="D51" s="21"/>
      <c r="E51" s="21"/>
      <c r="F51" s="21"/>
      <c r="G51" s="21"/>
      <c r="H51" s="21"/>
    </row>
    <row r="52" spans="1:9" x14ac:dyDescent="0.45">
      <c r="A52" s="110"/>
      <c r="B52" s="110"/>
      <c r="C52" s="110"/>
      <c r="D52" s="110"/>
      <c r="E52" s="110"/>
      <c r="F52" s="110"/>
      <c r="G52" s="110"/>
      <c r="H52" s="110"/>
      <c r="I52" s="110"/>
    </row>
    <row r="53" spans="1:9" x14ac:dyDescent="0.45">
      <c r="A53" s="110"/>
      <c r="B53" s="110"/>
      <c r="C53" s="110"/>
      <c r="D53" s="110"/>
      <c r="E53" s="110"/>
      <c r="F53" s="110"/>
      <c r="G53" s="110"/>
      <c r="H53" s="110"/>
      <c r="I53" s="110"/>
    </row>
    <row r="54" spans="1:9" x14ac:dyDescent="0.45">
      <c r="A54" s="110"/>
      <c r="B54" s="110"/>
      <c r="C54" s="110"/>
      <c r="D54" s="110"/>
      <c r="E54" s="110"/>
      <c r="F54" s="110"/>
      <c r="G54" s="110"/>
      <c r="H54" s="110"/>
      <c r="I54" s="110"/>
    </row>
    <row r="56" spans="1:9" ht="26.4" x14ac:dyDescent="0.65">
      <c r="C56" s="112" t="str">
        <f>合計データ!A9</f>
        <v>売上　計画ｘ見込み（1900年1月）</v>
      </c>
      <c r="D56" s="112"/>
      <c r="E56" s="112"/>
      <c r="F56" s="112"/>
      <c r="G56" s="112"/>
    </row>
    <row r="104" spans="1:9" x14ac:dyDescent="0.45">
      <c r="A104" s="110">
        <f>$A$52</f>
        <v>0</v>
      </c>
      <c r="B104" s="110"/>
      <c r="C104" s="110"/>
      <c r="D104" s="110"/>
      <c r="E104" s="110"/>
      <c r="F104" s="110"/>
      <c r="G104" s="110"/>
      <c r="H104" s="110"/>
      <c r="I104" s="110"/>
    </row>
    <row r="105" spans="1:9" x14ac:dyDescent="0.45">
      <c r="A105" s="110"/>
      <c r="B105" s="110"/>
      <c r="C105" s="110"/>
      <c r="D105" s="110"/>
      <c r="E105" s="110"/>
      <c r="F105" s="110"/>
      <c r="G105" s="110"/>
      <c r="H105" s="110"/>
      <c r="I105" s="110"/>
    </row>
    <row r="106" spans="1:9" x14ac:dyDescent="0.45">
      <c r="A106" s="110"/>
      <c r="B106" s="110"/>
      <c r="C106" s="110"/>
      <c r="D106" s="110"/>
      <c r="E106" s="110"/>
      <c r="F106" s="110"/>
      <c r="G106" s="110"/>
      <c r="H106" s="110"/>
      <c r="I106" s="110"/>
    </row>
    <row r="108" spans="1:9" ht="26.4" x14ac:dyDescent="0.65">
      <c r="C108" s="112" t="str">
        <f>合計データ!H9</f>
        <v>稼働率　計画ｘ見込み（1900年1月）</v>
      </c>
      <c r="D108" s="113"/>
      <c r="E108" s="113"/>
      <c r="F108" s="113"/>
      <c r="G108" s="113"/>
    </row>
    <row r="156" spans="1:9" x14ac:dyDescent="0.45">
      <c r="A156" s="110">
        <f>$A$52</f>
        <v>0</v>
      </c>
      <c r="B156" s="110"/>
      <c r="C156" s="110"/>
      <c r="D156" s="110"/>
      <c r="E156" s="110"/>
      <c r="F156" s="110"/>
      <c r="G156" s="110"/>
      <c r="H156" s="110"/>
      <c r="I156" s="110"/>
    </row>
    <row r="157" spans="1:9" x14ac:dyDescent="0.45">
      <c r="A157" s="110"/>
      <c r="B157" s="110"/>
      <c r="C157" s="110"/>
      <c r="D157" s="110"/>
      <c r="E157" s="110"/>
      <c r="F157" s="110"/>
      <c r="G157" s="110"/>
      <c r="H157" s="110"/>
      <c r="I157" s="110"/>
    </row>
    <row r="158" spans="1:9" x14ac:dyDescent="0.45">
      <c r="A158" s="110"/>
      <c r="B158" s="110"/>
      <c r="C158" s="110"/>
      <c r="D158" s="110"/>
      <c r="E158" s="110"/>
      <c r="F158" s="110"/>
      <c r="G158" s="110"/>
      <c r="H158" s="110"/>
      <c r="I158" s="110"/>
    </row>
    <row r="160" spans="1:9" ht="26.4" x14ac:dyDescent="0.65">
      <c r="C160" s="112" t="str">
        <f>合計データ2!A1</f>
        <v>売上　計画ｘ見込み（1900年1月）</v>
      </c>
      <c r="D160" s="112"/>
      <c r="E160" s="112"/>
      <c r="F160" s="112"/>
      <c r="G160" s="112"/>
    </row>
    <row r="161" spans="3:7" x14ac:dyDescent="0.45">
      <c r="C161" s="27"/>
      <c r="D161" s="27"/>
      <c r="E161" s="27"/>
      <c r="F161" s="27"/>
      <c r="G161" s="27"/>
    </row>
    <row r="208" spans="1:9" x14ac:dyDescent="0.45">
      <c r="A208" s="110">
        <f>$A$52</f>
        <v>0</v>
      </c>
      <c r="B208" s="110"/>
      <c r="C208" s="110"/>
      <c r="D208" s="110"/>
      <c r="E208" s="110"/>
      <c r="F208" s="110"/>
      <c r="G208" s="110"/>
      <c r="H208" s="110"/>
      <c r="I208" s="110"/>
    </row>
    <row r="209" spans="1:9" x14ac:dyDescent="0.45">
      <c r="A209" s="110"/>
      <c r="B209" s="110"/>
      <c r="C209" s="110"/>
      <c r="D209" s="110"/>
      <c r="E209" s="110"/>
      <c r="F209" s="110"/>
      <c r="G209" s="110"/>
      <c r="H209" s="110"/>
      <c r="I209" s="110"/>
    </row>
    <row r="210" spans="1:9" x14ac:dyDescent="0.45">
      <c r="A210" s="110"/>
      <c r="B210" s="110"/>
      <c r="C210" s="110"/>
      <c r="D210" s="110"/>
      <c r="E210" s="110"/>
      <c r="F210" s="110"/>
      <c r="G210" s="110"/>
      <c r="H210" s="110"/>
      <c r="I210" s="110"/>
    </row>
    <row r="212" spans="1:9" ht="26.4" x14ac:dyDescent="0.65">
      <c r="C212" s="111" t="str">
        <f>合計データ2!H1</f>
        <v>稼働率　計画ｘ見込み（1900年1月）</v>
      </c>
      <c r="D212" s="112"/>
      <c r="E212" s="112"/>
      <c r="F212" s="112"/>
      <c r="G212" s="112"/>
    </row>
    <row r="260" spans="1:9" x14ac:dyDescent="0.45">
      <c r="A260" s="110">
        <f>$A$52</f>
        <v>0</v>
      </c>
      <c r="B260" s="110"/>
      <c r="C260" s="110"/>
      <c r="D260" s="110"/>
      <c r="E260" s="110"/>
      <c r="F260" s="110"/>
      <c r="G260" s="110"/>
      <c r="H260" s="110"/>
      <c r="I260" s="110"/>
    </row>
    <row r="261" spans="1:9" x14ac:dyDescent="0.45">
      <c r="A261" s="110"/>
      <c r="B261" s="110"/>
      <c r="C261" s="110"/>
      <c r="D261" s="110"/>
      <c r="E261" s="110"/>
      <c r="F261" s="110"/>
      <c r="G261" s="110"/>
      <c r="H261" s="110"/>
      <c r="I261" s="110"/>
    </row>
    <row r="262" spans="1:9" x14ac:dyDescent="0.45">
      <c r="A262" s="110"/>
      <c r="B262" s="110"/>
      <c r="C262" s="110"/>
      <c r="D262" s="110"/>
      <c r="E262" s="110"/>
      <c r="F262" s="110"/>
      <c r="G262" s="110"/>
      <c r="H262" s="110"/>
      <c r="I262" s="110"/>
    </row>
    <row r="264" spans="1:9" ht="26.4" x14ac:dyDescent="0.65">
      <c r="C264" s="112" t="str">
        <f>合計データ3!A1</f>
        <v>売上　計画ｘ見込み（1900年1月）</v>
      </c>
      <c r="D264" s="113"/>
      <c r="E264" s="113"/>
      <c r="F264" s="113"/>
      <c r="G264" s="113"/>
    </row>
    <row r="312" spans="1:9" x14ac:dyDescent="0.45">
      <c r="A312" s="110">
        <f>$A$52</f>
        <v>0</v>
      </c>
      <c r="B312" s="110"/>
      <c r="C312" s="110"/>
      <c r="D312" s="110"/>
      <c r="E312" s="110"/>
      <c r="F312" s="110"/>
      <c r="G312" s="110"/>
      <c r="H312" s="110"/>
      <c r="I312" s="110"/>
    </row>
    <row r="313" spans="1:9" x14ac:dyDescent="0.45">
      <c r="A313" s="110"/>
      <c r="B313" s="110"/>
      <c r="C313" s="110"/>
      <c r="D313" s="110"/>
      <c r="E313" s="110"/>
      <c r="F313" s="110"/>
      <c r="G313" s="110"/>
      <c r="H313" s="110"/>
      <c r="I313" s="110"/>
    </row>
    <row r="314" spans="1:9" x14ac:dyDescent="0.45">
      <c r="A314" s="110"/>
      <c r="B314" s="110"/>
      <c r="C314" s="110"/>
      <c r="D314" s="110"/>
      <c r="E314" s="110"/>
      <c r="F314" s="110"/>
      <c r="G314" s="110"/>
      <c r="H314" s="110"/>
      <c r="I314" s="110"/>
    </row>
    <row r="316" spans="1:9" ht="25.2" customHeight="1" x14ac:dyDescent="0.65">
      <c r="C316" s="111" t="str">
        <f>合計データ3!H1</f>
        <v>稼働率　計画ｘ見込み（1900年1月）</v>
      </c>
      <c r="D316" s="113"/>
      <c r="E316" s="113"/>
      <c r="F316" s="113"/>
      <c r="G316" s="113"/>
    </row>
    <row r="317" spans="1:9" ht="14.4" customHeight="1" x14ac:dyDescent="0.45"/>
    <row r="365" spans="1:9" x14ac:dyDescent="0.45">
      <c r="A365" s="110">
        <f>$A$52</f>
        <v>0</v>
      </c>
      <c r="B365" s="110"/>
      <c r="C365" s="110"/>
      <c r="D365" s="110"/>
      <c r="E365" s="110"/>
      <c r="F365" s="110"/>
      <c r="G365" s="110"/>
      <c r="H365" s="110"/>
      <c r="I365" s="110"/>
    </row>
    <row r="366" spans="1:9" x14ac:dyDescent="0.45">
      <c r="A366" s="110"/>
      <c r="B366" s="110"/>
      <c r="C366" s="110"/>
      <c r="D366" s="110"/>
      <c r="E366" s="110"/>
      <c r="F366" s="110"/>
      <c r="G366" s="110"/>
      <c r="H366" s="110"/>
      <c r="I366" s="110"/>
    </row>
    <row r="367" spans="1:9" x14ac:dyDescent="0.45">
      <c r="A367" s="110"/>
      <c r="B367" s="110"/>
      <c r="C367" s="110"/>
      <c r="D367" s="110"/>
      <c r="E367" s="110"/>
      <c r="F367" s="110"/>
      <c r="G367" s="110"/>
      <c r="H367" s="110"/>
      <c r="I367" s="110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C50:H51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"/>
  <sheetViews>
    <sheetView showGridLines="0" zoomScale="80" zoomScaleNormal="8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28" t="s">
        <v>0</v>
      </c>
      <c r="B1" s="29" t="s">
        <v>1</v>
      </c>
      <c r="C1" s="29" t="s">
        <v>16</v>
      </c>
      <c r="D1" s="30" t="s">
        <v>31</v>
      </c>
      <c r="E1" s="28" t="s">
        <v>2</v>
      </c>
      <c r="F1" s="28" t="s">
        <v>17</v>
      </c>
      <c r="G1" s="31" t="s">
        <v>28</v>
      </c>
      <c r="H1" s="28" t="s">
        <v>3</v>
      </c>
      <c r="I1" s="29" t="s">
        <v>29</v>
      </c>
      <c r="J1" s="28" t="s">
        <v>18</v>
      </c>
      <c r="K1" s="29" t="s">
        <v>30</v>
      </c>
      <c r="L1" s="29" t="s">
        <v>15</v>
      </c>
      <c r="M1" s="30" t="s">
        <v>32</v>
      </c>
      <c r="N1" s="29" t="s">
        <v>33</v>
      </c>
      <c r="O1" s="5" t="s">
        <v>4</v>
      </c>
      <c r="P1" s="5" t="s">
        <v>38</v>
      </c>
      <c r="Q1" s="23" t="s">
        <v>39</v>
      </c>
      <c r="R1" s="5" t="s">
        <v>5</v>
      </c>
      <c r="S1" s="5" t="s">
        <v>7</v>
      </c>
      <c r="T1" s="5" t="s">
        <v>6</v>
      </c>
      <c r="V1" s="14"/>
      <c r="W1" s="15" t="s">
        <v>19</v>
      </c>
      <c r="X1" s="15" t="s">
        <v>20</v>
      </c>
      <c r="Y1" s="15" t="s">
        <v>21</v>
      </c>
      <c r="Z1" s="15" t="s">
        <v>22</v>
      </c>
      <c r="AA1" s="15" t="s">
        <v>23</v>
      </c>
      <c r="AB1" s="15" t="s">
        <v>24</v>
      </c>
      <c r="AD1" s="26"/>
      <c r="AE1" s="26"/>
    </row>
    <row r="2" spans="1:31" ht="18" x14ac:dyDescent="0.45">
      <c r="A2" s="7"/>
      <c r="B2" s="8"/>
      <c r="C2" s="8"/>
      <c r="D2" s="8"/>
      <c r="E2" s="9"/>
      <c r="F2" s="9"/>
      <c r="G2" s="9"/>
      <c r="H2" s="7"/>
      <c r="I2" s="8"/>
      <c r="J2" s="9"/>
      <c r="K2" s="8"/>
      <c r="L2" s="8"/>
      <c r="M2" s="8"/>
      <c r="N2" s="8"/>
      <c r="O2" s="6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9" t="s">
        <v>10</v>
      </c>
      <c r="W2" s="22"/>
      <c r="X2" s="22"/>
      <c r="Y2" s="22"/>
      <c r="Z2" s="22"/>
      <c r="AA2" s="22"/>
      <c r="AB2" s="22"/>
    </row>
    <row r="3" spans="1:31" x14ac:dyDescent="0.45">
      <c r="A3" s="7"/>
      <c r="B3" s="8"/>
      <c r="C3" s="8"/>
      <c r="D3" s="8"/>
      <c r="E3" s="9"/>
      <c r="F3" s="9"/>
      <c r="G3" s="9"/>
      <c r="H3" s="7"/>
      <c r="I3" s="8"/>
      <c r="J3" s="9"/>
      <c r="K3" s="8"/>
      <c r="L3" s="8"/>
      <c r="M3" s="8"/>
      <c r="N3" s="8"/>
      <c r="O3" s="6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6" t="s">
        <v>25</v>
      </c>
      <c r="W3" s="17">
        <f t="shared" ref="W3:AB3" si="4">W2-W7</f>
        <v>0</v>
      </c>
      <c r="X3" s="17">
        <f t="shared" si="4"/>
        <v>0</v>
      </c>
      <c r="Y3" s="17">
        <f t="shared" si="4"/>
        <v>0</v>
      </c>
      <c r="Z3" s="17">
        <f t="shared" si="4"/>
        <v>0</v>
      </c>
      <c r="AA3" s="17">
        <f t="shared" si="4"/>
        <v>0</v>
      </c>
      <c r="AB3" s="17">
        <f t="shared" si="4"/>
        <v>0</v>
      </c>
    </row>
    <row r="4" spans="1:31" ht="18" x14ac:dyDescent="0.45">
      <c r="A4" s="7"/>
      <c r="B4" s="8"/>
      <c r="C4" s="8"/>
      <c r="D4" s="8"/>
      <c r="E4" s="9"/>
      <c r="F4" s="9"/>
      <c r="G4" s="9"/>
      <c r="H4" s="7"/>
      <c r="I4" s="8"/>
      <c r="J4" s="9"/>
      <c r="K4" s="8"/>
      <c r="L4" s="8"/>
      <c r="M4" s="8"/>
      <c r="N4" s="8"/>
      <c r="O4" s="6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9" t="s">
        <v>11</v>
      </c>
      <c r="W4" s="22"/>
      <c r="X4" s="22"/>
      <c r="Y4" s="22"/>
      <c r="Z4" s="22"/>
      <c r="AA4" s="22"/>
      <c r="AB4" s="22"/>
    </row>
    <row r="5" spans="1:31" x14ac:dyDescent="0.45">
      <c r="A5" s="7"/>
      <c r="B5" s="8"/>
      <c r="C5" s="8"/>
      <c r="D5" s="8"/>
      <c r="E5" s="9"/>
      <c r="F5" s="9"/>
      <c r="G5" s="9"/>
      <c r="H5" s="7"/>
      <c r="I5" s="8"/>
      <c r="J5" s="9"/>
      <c r="K5" s="8"/>
      <c r="L5" s="8"/>
      <c r="M5" s="8"/>
      <c r="N5" s="8"/>
      <c r="O5" s="6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8" t="s">
        <v>25</v>
      </c>
      <c r="W5" s="17">
        <f t="shared" ref="W5:AB5" si="5">W4-W8</f>
        <v>0</v>
      </c>
      <c r="X5" s="17">
        <f t="shared" si="5"/>
        <v>0</v>
      </c>
      <c r="Y5" s="17">
        <f t="shared" si="5"/>
        <v>0</v>
      </c>
      <c r="Z5" s="17">
        <f t="shared" si="5"/>
        <v>0</v>
      </c>
      <c r="AA5" s="17">
        <f t="shared" si="5"/>
        <v>0</v>
      </c>
      <c r="AB5" s="17">
        <f t="shared" si="5"/>
        <v>0</v>
      </c>
    </row>
    <row r="6" spans="1:31" x14ac:dyDescent="0.45">
      <c r="A6" s="7"/>
      <c r="B6" s="8"/>
      <c r="C6" s="8"/>
      <c r="D6" s="8"/>
      <c r="E6" s="9"/>
      <c r="F6" s="9"/>
      <c r="G6" s="9"/>
      <c r="H6" s="7"/>
      <c r="I6" s="8"/>
      <c r="J6" s="9"/>
      <c r="K6" s="8"/>
      <c r="L6" s="8"/>
      <c r="M6" s="8"/>
      <c r="N6" s="8"/>
      <c r="O6" s="6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7"/>
      <c r="B7" s="8"/>
      <c r="C7" s="8"/>
      <c r="D7" s="8"/>
      <c r="E7" s="9"/>
      <c r="F7" s="9"/>
      <c r="G7" s="9"/>
      <c r="H7" s="7"/>
      <c r="I7" s="8"/>
      <c r="J7" s="9"/>
      <c r="K7" s="8"/>
      <c r="L7" s="8"/>
      <c r="M7" s="8"/>
      <c r="N7" s="8"/>
      <c r="O7" s="6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2"/>
      <c r="X7" s="12"/>
      <c r="Y7" s="12"/>
      <c r="Z7" s="12"/>
      <c r="AA7" s="12"/>
      <c r="AB7" s="12"/>
    </row>
    <row r="8" spans="1:31" x14ac:dyDescent="0.45">
      <c r="H8" s="1"/>
      <c r="I8" s="2"/>
      <c r="J8" s="1"/>
      <c r="Q8" s="2"/>
      <c r="V8" s="1" t="s">
        <v>27</v>
      </c>
      <c r="W8" s="12"/>
      <c r="X8" s="12"/>
      <c r="Y8" s="12"/>
      <c r="Z8" s="12"/>
      <c r="AA8" s="12"/>
      <c r="AB8" s="12"/>
    </row>
    <row r="9" spans="1:31" ht="27" thickBot="1" x14ac:dyDescent="0.7">
      <c r="A9" s="114" t="str">
        <f>"売上　計画ｘ見込み（" &amp; TEXT(B11, "yyyy年m月") &amp; "）"</f>
        <v>売上　計画ｘ見込み（1900年1月）</v>
      </c>
      <c r="B9" s="114"/>
      <c r="C9" s="114"/>
      <c r="D9" s="115"/>
      <c r="G9" s="2"/>
      <c r="H9" s="114" t="str">
        <f>"稼働率　計画ｘ見込み（" &amp; TEXT(B11, "yyyy年m月") &amp; "）"</f>
        <v>稼働率　計画ｘ見込み（1900年1月）</v>
      </c>
      <c r="I9" s="114"/>
      <c r="J9" s="114"/>
      <c r="K9" s="114"/>
      <c r="O9" s="1"/>
      <c r="P9" s="1"/>
    </row>
    <row r="10" spans="1:31" ht="25.05" customHeight="1" x14ac:dyDescent="0.45">
      <c r="A10" s="42" t="s">
        <v>12</v>
      </c>
      <c r="B10" s="40" t="s">
        <v>34</v>
      </c>
      <c r="C10" s="66" t="s">
        <v>1</v>
      </c>
      <c r="D10" s="71" t="s">
        <v>36</v>
      </c>
      <c r="E10" s="68" t="s">
        <v>13</v>
      </c>
      <c r="F10" s="101" t="s">
        <v>40</v>
      </c>
      <c r="G10" s="41"/>
      <c r="H10" s="44" t="s">
        <v>12</v>
      </c>
      <c r="I10" s="45" t="s">
        <v>34</v>
      </c>
      <c r="J10" s="46" t="s">
        <v>2</v>
      </c>
      <c r="K10" s="93" t="s">
        <v>35</v>
      </c>
      <c r="L10" s="74" t="s">
        <v>14</v>
      </c>
      <c r="M10" s="108" t="s">
        <v>42</v>
      </c>
      <c r="O10" s="5" t="s">
        <v>9</v>
      </c>
      <c r="P10" s="5" t="s">
        <v>37</v>
      </c>
      <c r="Q10" s="5" t="s">
        <v>8</v>
      </c>
      <c r="R10" s="5" t="s">
        <v>41</v>
      </c>
    </row>
    <row r="11" spans="1:31" x14ac:dyDescent="0.45">
      <c r="A11" s="32"/>
      <c r="B11" s="33"/>
      <c r="C11" s="85"/>
      <c r="D11" s="86"/>
      <c r="E11" s="87"/>
      <c r="F11" s="102"/>
      <c r="G11" s="11"/>
      <c r="H11" s="56"/>
      <c r="I11" s="49"/>
      <c r="J11" s="57"/>
      <c r="K11" s="80"/>
      <c r="L11" s="75"/>
      <c r="M11" s="105"/>
      <c r="N11" s="11"/>
      <c r="O11" s="13">
        <f>C11/10000</f>
        <v>0</v>
      </c>
      <c r="P11" s="13">
        <f>D11/10000</f>
        <v>0</v>
      </c>
      <c r="Q11" s="13">
        <f>E11/10000</f>
        <v>0</v>
      </c>
      <c r="R11" s="13" t="str">
        <f>IF(OR(F11="",F11=0),"",(D11+F11)/10000)</f>
        <v/>
      </c>
    </row>
    <row r="12" spans="1:31" x14ac:dyDescent="0.45">
      <c r="A12" s="34"/>
      <c r="B12" s="35"/>
      <c r="C12" s="88"/>
      <c r="D12" s="89"/>
      <c r="E12" s="90"/>
      <c r="F12" s="99"/>
      <c r="H12" s="50"/>
      <c r="I12" s="51"/>
      <c r="J12" s="59"/>
      <c r="K12" s="81"/>
      <c r="L12" s="76"/>
      <c r="M12" s="104"/>
      <c r="N12" s="10"/>
      <c r="O12" s="13">
        <f t="shared" ref="O12:O38" si="6">C12/10000</f>
        <v>0</v>
      </c>
      <c r="P12" s="13">
        <f t="shared" ref="P12:P38" si="7">D12/10000</f>
        <v>0</v>
      </c>
      <c r="Q12" s="13">
        <f t="shared" ref="Q12:Q38" si="8">E12/10000</f>
        <v>0</v>
      </c>
      <c r="R12" s="13" t="str">
        <f t="shared" ref="R12:R38" si="9">IF(OR(F12="",F12=0),"",(D12+F12)/10000)</f>
        <v/>
      </c>
    </row>
    <row r="13" spans="1:31" x14ac:dyDescent="0.45">
      <c r="A13" s="36"/>
      <c r="B13" s="33"/>
      <c r="C13" s="91"/>
      <c r="D13" s="92"/>
      <c r="E13" s="87"/>
      <c r="F13" s="102"/>
      <c r="H13" s="52"/>
      <c r="I13" s="49"/>
      <c r="J13" s="61"/>
      <c r="K13" s="82"/>
      <c r="L13" s="77"/>
      <c r="M13" s="106"/>
      <c r="N13" s="10"/>
      <c r="O13" s="13">
        <f t="shared" si="6"/>
        <v>0</v>
      </c>
      <c r="P13" s="13">
        <f t="shared" si="7"/>
        <v>0</v>
      </c>
      <c r="Q13" s="13">
        <f t="shared" si="8"/>
        <v>0</v>
      </c>
      <c r="R13" s="13" t="str">
        <f t="shared" si="9"/>
        <v/>
      </c>
    </row>
    <row r="14" spans="1:31" x14ac:dyDescent="0.45">
      <c r="A14" s="34"/>
      <c r="B14" s="35"/>
      <c r="C14" s="88"/>
      <c r="D14" s="89"/>
      <c r="E14" s="90"/>
      <c r="F14" s="99"/>
      <c r="H14" s="50"/>
      <c r="I14" s="51"/>
      <c r="J14" s="59"/>
      <c r="K14" s="81"/>
      <c r="L14" s="76"/>
      <c r="M14" s="104"/>
      <c r="N14" s="10"/>
      <c r="O14" s="13">
        <f t="shared" si="6"/>
        <v>0</v>
      </c>
      <c r="P14" s="13">
        <f t="shared" si="7"/>
        <v>0</v>
      </c>
      <c r="Q14" s="13">
        <f t="shared" si="8"/>
        <v>0</v>
      </c>
      <c r="R14" s="13" t="str">
        <f t="shared" si="9"/>
        <v/>
      </c>
    </row>
    <row r="15" spans="1:31" x14ac:dyDescent="0.45">
      <c r="A15" s="36"/>
      <c r="B15" s="33"/>
      <c r="C15" s="91"/>
      <c r="D15" s="92"/>
      <c r="E15" s="87"/>
      <c r="F15" s="102"/>
      <c r="H15" s="52"/>
      <c r="I15" s="49"/>
      <c r="J15" s="61"/>
      <c r="K15" s="82"/>
      <c r="L15" s="77"/>
      <c r="M15" s="106"/>
      <c r="N15"/>
      <c r="O15" s="13">
        <f t="shared" si="6"/>
        <v>0</v>
      </c>
      <c r="P15" s="13">
        <f t="shared" si="7"/>
        <v>0</v>
      </c>
      <c r="Q15" s="13">
        <f t="shared" si="8"/>
        <v>0</v>
      </c>
      <c r="R15" s="13" t="str">
        <f t="shared" si="9"/>
        <v/>
      </c>
    </row>
    <row r="16" spans="1:31" x14ac:dyDescent="0.45">
      <c r="A16" s="34"/>
      <c r="B16" s="35"/>
      <c r="C16" s="88"/>
      <c r="D16" s="89"/>
      <c r="E16" s="90"/>
      <c r="F16" s="99"/>
      <c r="H16" s="50"/>
      <c r="I16" s="51"/>
      <c r="J16" s="59"/>
      <c r="K16" s="81"/>
      <c r="L16" s="76"/>
      <c r="M16" s="104"/>
      <c r="N16"/>
      <c r="O16" s="13">
        <f t="shared" si="6"/>
        <v>0</v>
      </c>
      <c r="P16" s="13">
        <f t="shared" si="7"/>
        <v>0</v>
      </c>
      <c r="Q16" s="13">
        <f t="shared" si="8"/>
        <v>0</v>
      </c>
      <c r="R16" s="13" t="str">
        <f t="shared" si="9"/>
        <v/>
      </c>
    </row>
    <row r="17" spans="1:18" x14ac:dyDescent="0.45">
      <c r="A17" s="36"/>
      <c r="B17" s="33"/>
      <c r="C17" s="91"/>
      <c r="D17" s="92"/>
      <c r="E17" s="87"/>
      <c r="F17" s="102"/>
      <c r="H17" s="52"/>
      <c r="I17" s="49"/>
      <c r="J17" s="61"/>
      <c r="K17" s="82"/>
      <c r="L17" s="77"/>
      <c r="M17" s="106"/>
      <c r="N17"/>
      <c r="O17" s="13">
        <f t="shared" si="6"/>
        <v>0</v>
      </c>
      <c r="P17" s="13">
        <f t="shared" si="7"/>
        <v>0</v>
      </c>
      <c r="Q17" s="13">
        <f t="shared" si="8"/>
        <v>0</v>
      </c>
      <c r="R17" s="13" t="str">
        <f t="shared" si="9"/>
        <v/>
      </c>
    </row>
    <row r="18" spans="1:18" x14ac:dyDescent="0.45">
      <c r="A18" s="34"/>
      <c r="B18" s="35"/>
      <c r="C18" s="88"/>
      <c r="D18" s="89"/>
      <c r="E18" s="90"/>
      <c r="F18" s="99"/>
      <c r="H18" s="50"/>
      <c r="I18" s="51"/>
      <c r="J18" s="59"/>
      <c r="K18" s="81"/>
      <c r="L18" s="76"/>
      <c r="M18" s="104"/>
      <c r="N18"/>
      <c r="O18" s="13">
        <f t="shared" si="6"/>
        <v>0</v>
      </c>
      <c r="P18" s="13">
        <f t="shared" si="7"/>
        <v>0</v>
      </c>
      <c r="Q18" s="13">
        <f t="shared" si="8"/>
        <v>0</v>
      </c>
      <c r="R18" s="13" t="str">
        <f t="shared" si="9"/>
        <v/>
      </c>
    </row>
    <row r="19" spans="1:18" x14ac:dyDescent="0.45">
      <c r="A19" s="36"/>
      <c r="B19" s="33"/>
      <c r="C19" s="91"/>
      <c r="D19" s="92"/>
      <c r="E19" s="87"/>
      <c r="F19" s="102"/>
      <c r="H19" s="52"/>
      <c r="I19" s="49"/>
      <c r="J19" s="61"/>
      <c r="K19" s="82"/>
      <c r="L19" s="77"/>
      <c r="M19" s="106"/>
      <c r="N19"/>
      <c r="O19" s="13">
        <f t="shared" si="6"/>
        <v>0</v>
      </c>
      <c r="P19" s="13">
        <f t="shared" si="7"/>
        <v>0</v>
      </c>
      <c r="Q19" s="13">
        <f t="shared" si="8"/>
        <v>0</v>
      </c>
      <c r="R19" s="13" t="str">
        <f t="shared" si="9"/>
        <v/>
      </c>
    </row>
    <row r="20" spans="1:18" x14ac:dyDescent="0.45">
      <c r="A20" s="34"/>
      <c r="B20" s="35"/>
      <c r="C20" s="88"/>
      <c r="D20" s="89"/>
      <c r="E20" s="90"/>
      <c r="F20" s="99"/>
      <c r="H20" s="50"/>
      <c r="I20" s="51"/>
      <c r="J20" s="59"/>
      <c r="K20" s="81"/>
      <c r="L20" s="76"/>
      <c r="M20" s="104"/>
      <c r="N20"/>
      <c r="O20" s="13">
        <f t="shared" si="6"/>
        <v>0</v>
      </c>
      <c r="P20" s="13">
        <f t="shared" si="7"/>
        <v>0</v>
      </c>
      <c r="Q20" s="13">
        <f t="shared" si="8"/>
        <v>0</v>
      </c>
      <c r="R20" s="13" t="str">
        <f t="shared" si="9"/>
        <v/>
      </c>
    </row>
    <row r="21" spans="1:18" x14ac:dyDescent="0.45">
      <c r="A21" s="36"/>
      <c r="B21" s="33"/>
      <c r="C21" s="91"/>
      <c r="D21" s="92"/>
      <c r="E21" s="87"/>
      <c r="F21" s="102"/>
      <c r="H21" s="52"/>
      <c r="I21" s="49"/>
      <c r="J21" s="61"/>
      <c r="K21" s="82"/>
      <c r="L21" s="77"/>
      <c r="M21" s="106"/>
      <c r="N21"/>
      <c r="O21" s="13">
        <f t="shared" si="6"/>
        <v>0</v>
      </c>
      <c r="P21" s="13">
        <f t="shared" si="7"/>
        <v>0</v>
      </c>
      <c r="Q21" s="13">
        <f t="shared" si="8"/>
        <v>0</v>
      </c>
      <c r="R21" s="13" t="str">
        <f t="shared" si="9"/>
        <v/>
      </c>
    </row>
    <row r="22" spans="1:18" x14ac:dyDescent="0.45">
      <c r="A22" s="34"/>
      <c r="B22" s="35"/>
      <c r="C22" s="88"/>
      <c r="D22" s="89"/>
      <c r="E22" s="90"/>
      <c r="F22" s="99"/>
      <c r="H22" s="50"/>
      <c r="I22" s="51"/>
      <c r="J22" s="59"/>
      <c r="K22" s="81"/>
      <c r="L22" s="76"/>
      <c r="M22" s="104"/>
      <c r="N22"/>
      <c r="O22" s="13">
        <f t="shared" si="6"/>
        <v>0</v>
      </c>
      <c r="P22" s="13">
        <f t="shared" si="7"/>
        <v>0</v>
      </c>
      <c r="Q22" s="13">
        <f t="shared" si="8"/>
        <v>0</v>
      </c>
      <c r="R22" s="13" t="str">
        <f t="shared" si="9"/>
        <v/>
      </c>
    </row>
    <row r="23" spans="1:18" x14ac:dyDescent="0.45">
      <c r="A23" s="36"/>
      <c r="B23" s="33"/>
      <c r="C23" s="91"/>
      <c r="D23" s="92"/>
      <c r="E23" s="87"/>
      <c r="F23" s="102"/>
      <c r="H23" s="52"/>
      <c r="I23" s="49"/>
      <c r="J23" s="61"/>
      <c r="K23" s="82"/>
      <c r="L23" s="77"/>
      <c r="M23" s="106"/>
      <c r="N23"/>
      <c r="O23" s="13">
        <f t="shared" si="6"/>
        <v>0</v>
      </c>
      <c r="P23" s="13">
        <f t="shared" si="7"/>
        <v>0</v>
      </c>
      <c r="Q23" s="13">
        <f t="shared" si="8"/>
        <v>0</v>
      </c>
      <c r="R23" s="13" t="str">
        <f t="shared" si="9"/>
        <v/>
      </c>
    </row>
    <row r="24" spans="1:18" x14ac:dyDescent="0.45">
      <c r="A24" s="34"/>
      <c r="B24" s="35"/>
      <c r="C24" s="88"/>
      <c r="D24" s="89"/>
      <c r="E24" s="90"/>
      <c r="F24" s="99"/>
      <c r="H24" s="50"/>
      <c r="I24" s="51"/>
      <c r="J24" s="59"/>
      <c r="K24" s="81"/>
      <c r="L24" s="76"/>
      <c r="M24" s="104"/>
      <c r="N24"/>
      <c r="O24" s="13">
        <f t="shared" si="6"/>
        <v>0</v>
      </c>
      <c r="P24" s="13">
        <f t="shared" si="7"/>
        <v>0</v>
      </c>
      <c r="Q24" s="13">
        <f t="shared" si="8"/>
        <v>0</v>
      </c>
      <c r="R24" s="13" t="str">
        <f t="shared" si="9"/>
        <v/>
      </c>
    </row>
    <row r="25" spans="1:18" x14ac:dyDescent="0.45">
      <c r="A25" s="36"/>
      <c r="B25" s="33"/>
      <c r="C25" s="91"/>
      <c r="D25" s="92"/>
      <c r="E25" s="87"/>
      <c r="F25" s="102"/>
      <c r="H25" s="52"/>
      <c r="I25" s="49"/>
      <c r="J25" s="61"/>
      <c r="K25" s="82"/>
      <c r="L25" s="77"/>
      <c r="M25" s="106"/>
      <c r="N25"/>
      <c r="O25" s="13">
        <f t="shared" si="6"/>
        <v>0</v>
      </c>
      <c r="P25" s="13">
        <f t="shared" si="7"/>
        <v>0</v>
      </c>
      <c r="Q25" s="13">
        <f t="shared" si="8"/>
        <v>0</v>
      </c>
      <c r="R25" s="13" t="str">
        <f t="shared" si="9"/>
        <v/>
      </c>
    </row>
    <row r="26" spans="1:18" x14ac:dyDescent="0.45">
      <c r="A26" s="34"/>
      <c r="B26" s="35"/>
      <c r="C26" s="88"/>
      <c r="D26" s="89"/>
      <c r="E26" s="90"/>
      <c r="F26" s="99"/>
      <c r="G26" s="11"/>
      <c r="H26" s="50"/>
      <c r="I26" s="51"/>
      <c r="J26" s="59"/>
      <c r="K26" s="81"/>
      <c r="L26" s="76"/>
      <c r="M26" s="104"/>
      <c r="N26"/>
      <c r="O26" s="13">
        <f t="shared" si="6"/>
        <v>0</v>
      </c>
      <c r="P26" s="13">
        <f t="shared" si="7"/>
        <v>0</v>
      </c>
      <c r="Q26" s="13">
        <f t="shared" si="8"/>
        <v>0</v>
      </c>
      <c r="R26" s="13" t="str">
        <f t="shared" si="9"/>
        <v/>
      </c>
    </row>
    <row r="27" spans="1:18" x14ac:dyDescent="0.45">
      <c r="A27" s="36"/>
      <c r="B27" s="33"/>
      <c r="C27" s="91"/>
      <c r="D27" s="92"/>
      <c r="E27" s="87"/>
      <c r="F27" s="102"/>
      <c r="H27" s="52"/>
      <c r="I27" s="49"/>
      <c r="J27" s="61"/>
      <c r="K27" s="82"/>
      <c r="L27" s="77"/>
      <c r="M27" s="106"/>
      <c r="N27"/>
      <c r="O27" s="13">
        <f t="shared" si="6"/>
        <v>0</v>
      </c>
      <c r="P27" s="13">
        <f t="shared" si="7"/>
        <v>0</v>
      </c>
      <c r="Q27" s="13">
        <f t="shared" si="8"/>
        <v>0</v>
      </c>
      <c r="R27" s="13" t="str">
        <f t="shared" si="9"/>
        <v/>
      </c>
    </row>
    <row r="28" spans="1:18" x14ac:dyDescent="0.45">
      <c r="A28" s="34"/>
      <c r="B28" s="35"/>
      <c r="C28" s="88"/>
      <c r="D28" s="89"/>
      <c r="E28" s="90"/>
      <c r="F28" s="99"/>
      <c r="H28" s="50"/>
      <c r="I28" s="51"/>
      <c r="J28" s="59"/>
      <c r="K28" s="81"/>
      <c r="L28" s="76"/>
      <c r="M28" s="104"/>
      <c r="N28"/>
      <c r="O28" s="13">
        <f t="shared" si="6"/>
        <v>0</v>
      </c>
      <c r="P28" s="13">
        <f t="shared" si="7"/>
        <v>0</v>
      </c>
      <c r="Q28" s="13">
        <f t="shared" si="8"/>
        <v>0</v>
      </c>
      <c r="R28" s="13" t="str">
        <f t="shared" si="9"/>
        <v/>
      </c>
    </row>
    <row r="29" spans="1:18" x14ac:dyDescent="0.45">
      <c r="A29" s="36"/>
      <c r="B29" s="33"/>
      <c r="C29" s="91"/>
      <c r="D29" s="92"/>
      <c r="E29" s="87"/>
      <c r="F29" s="102"/>
      <c r="H29" s="52"/>
      <c r="I29" s="49"/>
      <c r="J29" s="61"/>
      <c r="K29" s="82"/>
      <c r="L29" s="77"/>
      <c r="M29" s="106"/>
      <c r="N29"/>
      <c r="O29" s="13">
        <f t="shared" si="6"/>
        <v>0</v>
      </c>
      <c r="P29" s="13">
        <f t="shared" si="7"/>
        <v>0</v>
      </c>
      <c r="Q29" s="13">
        <f t="shared" si="8"/>
        <v>0</v>
      </c>
      <c r="R29" s="13" t="str">
        <f t="shared" si="9"/>
        <v/>
      </c>
    </row>
    <row r="30" spans="1:18" x14ac:dyDescent="0.45">
      <c r="A30" s="34"/>
      <c r="B30" s="35"/>
      <c r="C30" s="88"/>
      <c r="D30" s="89"/>
      <c r="E30" s="90"/>
      <c r="F30" s="99"/>
      <c r="H30" s="50"/>
      <c r="I30" s="51"/>
      <c r="J30" s="59"/>
      <c r="K30" s="81"/>
      <c r="L30" s="76"/>
      <c r="M30" s="104"/>
      <c r="N30"/>
      <c r="O30" s="13">
        <f t="shared" si="6"/>
        <v>0</v>
      </c>
      <c r="P30" s="13">
        <f t="shared" si="7"/>
        <v>0</v>
      </c>
      <c r="Q30" s="13">
        <f t="shared" si="8"/>
        <v>0</v>
      </c>
      <c r="R30" s="13" t="str">
        <f t="shared" si="9"/>
        <v/>
      </c>
    </row>
    <row r="31" spans="1:18" x14ac:dyDescent="0.45">
      <c r="A31" s="36"/>
      <c r="B31" s="33"/>
      <c r="C31" s="91"/>
      <c r="D31" s="92"/>
      <c r="E31" s="87"/>
      <c r="F31" s="102"/>
      <c r="H31" s="52"/>
      <c r="I31" s="49"/>
      <c r="J31" s="61"/>
      <c r="K31" s="82"/>
      <c r="L31" s="77"/>
      <c r="M31" s="106"/>
      <c r="N31"/>
      <c r="O31" s="13">
        <f t="shared" si="6"/>
        <v>0</v>
      </c>
      <c r="P31" s="13">
        <f t="shared" si="7"/>
        <v>0</v>
      </c>
      <c r="Q31" s="13">
        <f t="shared" si="8"/>
        <v>0</v>
      </c>
      <c r="R31" s="13" t="str">
        <f t="shared" si="9"/>
        <v/>
      </c>
    </row>
    <row r="32" spans="1:18" x14ac:dyDescent="0.45">
      <c r="A32" s="34"/>
      <c r="B32" s="35"/>
      <c r="C32" s="88"/>
      <c r="D32" s="89"/>
      <c r="E32" s="90"/>
      <c r="F32" s="99"/>
      <c r="H32" s="50"/>
      <c r="I32" s="51"/>
      <c r="J32" s="59"/>
      <c r="K32" s="81"/>
      <c r="L32" s="76"/>
      <c r="M32" s="104"/>
      <c r="N32"/>
      <c r="O32" s="13">
        <f t="shared" si="6"/>
        <v>0</v>
      </c>
      <c r="P32" s="13">
        <f t="shared" si="7"/>
        <v>0</v>
      </c>
      <c r="Q32" s="13">
        <f t="shared" si="8"/>
        <v>0</v>
      </c>
      <c r="R32" s="13" t="str">
        <f t="shared" si="9"/>
        <v/>
      </c>
    </row>
    <row r="33" spans="1:18" x14ac:dyDescent="0.45">
      <c r="A33" s="36"/>
      <c r="B33" s="33"/>
      <c r="C33" s="91"/>
      <c r="D33" s="92"/>
      <c r="E33" s="87"/>
      <c r="F33" s="102"/>
      <c r="H33" s="52"/>
      <c r="I33" s="49"/>
      <c r="J33" s="61"/>
      <c r="K33" s="82"/>
      <c r="L33" s="77"/>
      <c r="M33" s="106"/>
      <c r="N33"/>
      <c r="O33" s="13">
        <f t="shared" si="6"/>
        <v>0</v>
      </c>
      <c r="P33" s="13">
        <f t="shared" si="7"/>
        <v>0</v>
      </c>
      <c r="Q33" s="13">
        <f t="shared" si="8"/>
        <v>0</v>
      </c>
      <c r="R33" s="13" t="str">
        <f t="shared" si="9"/>
        <v/>
      </c>
    </row>
    <row r="34" spans="1:18" x14ac:dyDescent="0.45">
      <c r="A34" s="34"/>
      <c r="B34" s="35"/>
      <c r="C34" s="88"/>
      <c r="D34" s="89"/>
      <c r="E34" s="90"/>
      <c r="F34" s="99"/>
      <c r="H34" s="50"/>
      <c r="I34" s="51"/>
      <c r="J34" s="59"/>
      <c r="K34" s="81"/>
      <c r="L34" s="76"/>
      <c r="M34" s="104"/>
      <c r="N34"/>
      <c r="O34" s="13">
        <f t="shared" si="6"/>
        <v>0</v>
      </c>
      <c r="P34" s="13">
        <f t="shared" si="7"/>
        <v>0</v>
      </c>
      <c r="Q34" s="13">
        <f t="shared" si="8"/>
        <v>0</v>
      </c>
      <c r="R34" s="13" t="str">
        <f t="shared" si="9"/>
        <v/>
      </c>
    </row>
    <row r="35" spans="1:18" x14ac:dyDescent="0.45">
      <c r="A35" s="36"/>
      <c r="B35" s="33"/>
      <c r="C35" s="91"/>
      <c r="D35" s="92"/>
      <c r="E35" s="87"/>
      <c r="F35" s="102"/>
      <c r="H35" s="52"/>
      <c r="I35" s="49"/>
      <c r="J35" s="61"/>
      <c r="K35" s="82"/>
      <c r="L35" s="77"/>
      <c r="M35" s="106"/>
      <c r="N35"/>
      <c r="O35" s="13">
        <f t="shared" si="6"/>
        <v>0</v>
      </c>
      <c r="P35" s="13">
        <f t="shared" si="7"/>
        <v>0</v>
      </c>
      <c r="Q35" s="13">
        <f t="shared" si="8"/>
        <v>0</v>
      </c>
      <c r="R35" s="13" t="str">
        <f t="shared" si="9"/>
        <v/>
      </c>
    </row>
    <row r="36" spans="1:18" x14ac:dyDescent="0.45">
      <c r="A36" s="34"/>
      <c r="B36" s="35"/>
      <c r="C36" s="88"/>
      <c r="D36" s="89"/>
      <c r="E36" s="90"/>
      <c r="F36" s="99"/>
      <c r="H36" s="50"/>
      <c r="I36" s="51"/>
      <c r="J36" s="59"/>
      <c r="K36" s="81"/>
      <c r="L36" s="76"/>
      <c r="M36" s="104"/>
      <c r="N36"/>
      <c r="O36" s="13">
        <f t="shared" si="6"/>
        <v>0</v>
      </c>
      <c r="P36" s="13">
        <f t="shared" si="7"/>
        <v>0</v>
      </c>
      <c r="Q36" s="13">
        <f t="shared" si="8"/>
        <v>0</v>
      </c>
      <c r="R36" s="13" t="str">
        <f t="shared" si="9"/>
        <v/>
      </c>
    </row>
    <row r="37" spans="1:18" x14ac:dyDescent="0.45">
      <c r="A37" s="36"/>
      <c r="B37" s="33"/>
      <c r="C37" s="91"/>
      <c r="D37" s="92"/>
      <c r="E37" s="87"/>
      <c r="F37" s="102"/>
      <c r="H37" s="52"/>
      <c r="I37" s="49"/>
      <c r="J37" s="61"/>
      <c r="K37" s="82"/>
      <c r="L37" s="77"/>
      <c r="M37" s="106"/>
      <c r="N37"/>
      <c r="O37" s="13">
        <f t="shared" si="6"/>
        <v>0</v>
      </c>
      <c r="P37" s="13">
        <f t="shared" si="7"/>
        <v>0</v>
      </c>
      <c r="Q37" s="13">
        <f t="shared" si="8"/>
        <v>0</v>
      </c>
      <c r="R37" s="13" t="str">
        <f t="shared" si="9"/>
        <v/>
      </c>
    </row>
    <row r="38" spans="1:18" x14ac:dyDescent="0.45">
      <c r="A38" s="34"/>
      <c r="B38" s="35"/>
      <c r="C38" s="88"/>
      <c r="D38" s="89"/>
      <c r="E38" s="90"/>
      <c r="F38" s="99"/>
      <c r="H38" s="50"/>
      <c r="I38" s="51"/>
      <c r="J38" s="59"/>
      <c r="K38" s="81"/>
      <c r="L38" s="76"/>
      <c r="M38" s="104"/>
      <c r="N38"/>
      <c r="O38" s="13">
        <f t="shared" si="6"/>
        <v>0</v>
      </c>
      <c r="P38" s="13">
        <f t="shared" si="7"/>
        <v>0</v>
      </c>
      <c r="Q38" s="13">
        <f t="shared" si="8"/>
        <v>0</v>
      </c>
      <c r="R38" s="13" t="str">
        <f t="shared" si="9"/>
        <v/>
      </c>
    </row>
    <row r="39" spans="1:18" x14ac:dyDescent="0.45">
      <c r="A39" s="36"/>
      <c r="B39" s="37"/>
      <c r="C39" s="67"/>
      <c r="D39" s="72"/>
      <c r="E39" s="69"/>
      <c r="F39" s="103"/>
      <c r="H39" s="63"/>
      <c r="I39" s="52"/>
      <c r="J39" s="63"/>
      <c r="K39" s="83"/>
      <c r="L39" s="78"/>
      <c r="M39" s="107"/>
    </row>
    <row r="40" spans="1:18" ht="18" thickBot="1" x14ac:dyDescent="0.5">
      <c r="A40" s="34"/>
      <c r="B40" s="38"/>
      <c r="C40" s="43"/>
      <c r="D40" s="73"/>
      <c r="E40" s="70"/>
      <c r="F40" s="100"/>
      <c r="H40" s="65"/>
      <c r="I40" s="55"/>
      <c r="J40" s="65"/>
      <c r="K40" s="84"/>
      <c r="L40" s="79"/>
      <c r="M40" s="38"/>
    </row>
  </sheetData>
  <mergeCells count="2">
    <mergeCell ref="A9:D9"/>
    <mergeCell ref="H9:K9"/>
  </mergeCells>
  <phoneticPr fontId="2"/>
  <conditionalFormatting sqref="E39:E40">
    <cfRule type="expression" dxfId="15" priority="4">
      <formula>$E39&lt;0</formula>
    </cfRule>
  </conditionalFormatting>
  <conditionalFormatting sqref="L39:L40">
    <cfRule type="expression" dxfId="14" priority="5">
      <formula>$L39&lt;0</formula>
    </cfRule>
  </conditionalFormatting>
  <conditionalFormatting sqref="W3:AB3">
    <cfRule type="cellIs" dxfId="13" priority="12" operator="lessThan">
      <formula>0</formula>
    </cfRule>
    <cfRule type="cellIs" dxfId="12" priority="13" operator="greaterThan">
      <formula>0</formula>
    </cfRule>
  </conditionalFormatting>
  <conditionalFormatting sqref="W5:AB5">
    <cfRule type="cellIs" dxfId="11" priority="10" operator="lessThan">
      <formula>0</formula>
    </cfRule>
    <cfRule type="cellIs" dxfId="10" priority="11" operator="greaterThan">
      <formula>0</formula>
    </cfRule>
  </conditionalFormatting>
  <conditionalFormatting sqref="E11:E38">
    <cfRule type="expression" dxfId="5" priority="1">
      <formula>$E11&lt;0</formula>
    </cfRule>
  </conditionalFormatting>
  <conditionalFormatting sqref="L11:L38">
    <cfRule type="expression" dxfId="4" priority="2">
      <formula>$L11&lt;0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114" t="str">
        <f>"売上　計画ｘ見込み（" &amp; TEXT(B3, "yyyy年m月") &amp; "）"</f>
        <v>売上　計画ｘ見込み（1900年1月）</v>
      </c>
      <c r="B1" s="114"/>
      <c r="C1" s="114"/>
      <c r="D1" s="114"/>
      <c r="H1" s="116" t="str">
        <f>"稼働率　計画ｘ見込み（" &amp; TEXT(B3, "yyyy年m月") &amp; "）"</f>
        <v>稼働率　計画ｘ見込み（1900年1月）</v>
      </c>
      <c r="I1" s="114"/>
      <c r="J1" s="114"/>
      <c r="K1" s="114"/>
      <c r="Q1" s="1"/>
      <c r="R1" s="1"/>
      <c r="S1" s="1"/>
    </row>
    <row r="2" spans="1:19" ht="25.05" customHeight="1" x14ac:dyDescent="0.45">
      <c r="A2" s="44" t="s">
        <v>12</v>
      </c>
      <c r="B2" s="45" t="s">
        <v>34</v>
      </c>
      <c r="C2" s="46" t="s">
        <v>1</v>
      </c>
      <c r="D2" s="71" t="s">
        <v>36</v>
      </c>
      <c r="E2" s="47" t="s">
        <v>13</v>
      </c>
      <c r="F2" s="101" t="s">
        <v>40</v>
      </c>
      <c r="G2" s="41"/>
      <c r="H2" s="44" t="s">
        <v>12</v>
      </c>
      <c r="I2" s="45" t="s">
        <v>34</v>
      </c>
      <c r="J2" s="46" t="s">
        <v>2</v>
      </c>
      <c r="K2" s="93" t="s">
        <v>35</v>
      </c>
      <c r="L2" s="47" t="s">
        <v>14</v>
      </c>
      <c r="M2" s="108" t="s">
        <v>42</v>
      </c>
      <c r="O2" s="5" t="s">
        <v>9</v>
      </c>
      <c r="P2" s="5" t="s">
        <v>37</v>
      </c>
      <c r="Q2" s="5" t="s">
        <v>8</v>
      </c>
      <c r="R2" s="5" t="s">
        <v>41</v>
      </c>
      <c r="S2" s="1"/>
    </row>
    <row r="3" spans="1:19" x14ac:dyDescent="0.45">
      <c r="A3" s="48"/>
      <c r="B3" s="49"/>
      <c r="C3" s="56"/>
      <c r="D3" s="86"/>
      <c r="E3" s="94"/>
      <c r="F3" s="102"/>
      <c r="G3" s="11"/>
      <c r="H3" s="56"/>
      <c r="I3" s="49"/>
      <c r="J3" s="57"/>
      <c r="K3" s="80"/>
      <c r="L3" s="58"/>
      <c r="M3" s="105"/>
      <c r="N3" s="11"/>
      <c r="O3" s="13">
        <f>C3/10000</f>
        <v>0</v>
      </c>
      <c r="P3" s="13">
        <f>D3/10000</f>
        <v>0</v>
      </c>
      <c r="Q3" s="13">
        <f>E3/10000</f>
        <v>0</v>
      </c>
      <c r="R3" s="13" t="str">
        <f>IF(OR(F3="",F3=0),"",(D3+F3)/10000)</f>
        <v/>
      </c>
      <c r="S3" s="1"/>
    </row>
    <row r="4" spans="1:19" x14ac:dyDescent="0.45">
      <c r="A4" s="50"/>
      <c r="B4" s="51"/>
      <c r="C4" s="95"/>
      <c r="D4" s="89"/>
      <c r="E4" s="96"/>
      <c r="F4" s="99"/>
      <c r="H4" s="50"/>
      <c r="I4" s="51"/>
      <c r="J4" s="59"/>
      <c r="K4" s="81"/>
      <c r="L4" s="60"/>
      <c r="M4" s="104"/>
      <c r="N4" s="10"/>
      <c r="O4" s="13">
        <f t="shared" ref="O4:O30" si="0">C4/10000</f>
        <v>0</v>
      </c>
      <c r="P4" s="13">
        <f t="shared" ref="P4:P30" si="1">D4/10000</f>
        <v>0</v>
      </c>
      <c r="Q4" s="13">
        <f t="shared" ref="Q4:Q30" si="2">E4/10000</f>
        <v>0</v>
      </c>
      <c r="R4" s="13" t="str">
        <f t="shared" ref="R4:R30" si="3">IF(OR(F4="",F4=0),"",(D4+F4)/10000)</f>
        <v/>
      </c>
      <c r="S4" s="1"/>
    </row>
    <row r="5" spans="1:19" x14ac:dyDescent="0.45">
      <c r="A5" s="52"/>
      <c r="B5" s="49"/>
      <c r="C5" s="56"/>
      <c r="D5" s="92"/>
      <c r="E5" s="94"/>
      <c r="F5" s="102"/>
      <c r="H5" s="52"/>
      <c r="I5" s="49"/>
      <c r="J5" s="61"/>
      <c r="K5" s="82"/>
      <c r="L5" s="62"/>
      <c r="M5" s="106"/>
      <c r="N5" s="10"/>
      <c r="O5" s="13">
        <f t="shared" si="0"/>
        <v>0</v>
      </c>
      <c r="P5" s="13">
        <f t="shared" si="1"/>
        <v>0</v>
      </c>
      <c r="Q5" s="13">
        <f t="shared" si="2"/>
        <v>0</v>
      </c>
      <c r="R5" s="13" t="str">
        <f>IF(OR(F5="",F5=0),"",(D5+F5)/10000)</f>
        <v/>
      </c>
      <c r="S5" s="1"/>
    </row>
    <row r="6" spans="1:19" x14ac:dyDescent="0.45">
      <c r="A6" s="50"/>
      <c r="B6" s="51"/>
      <c r="C6" s="95"/>
      <c r="D6" s="89"/>
      <c r="E6" s="96"/>
      <c r="F6" s="99"/>
      <c r="H6" s="50"/>
      <c r="I6" s="51"/>
      <c r="J6" s="59"/>
      <c r="K6" s="81"/>
      <c r="L6" s="60"/>
      <c r="M6" s="104"/>
      <c r="N6" s="10"/>
      <c r="O6" s="13">
        <f t="shared" si="0"/>
        <v>0</v>
      </c>
      <c r="P6" s="13">
        <f t="shared" si="1"/>
        <v>0</v>
      </c>
      <c r="Q6" s="13">
        <f t="shared" si="2"/>
        <v>0</v>
      </c>
      <c r="R6" s="13" t="str">
        <f t="shared" si="3"/>
        <v/>
      </c>
      <c r="S6" s="1"/>
    </row>
    <row r="7" spans="1:19" x14ac:dyDescent="0.45">
      <c r="A7" s="52"/>
      <c r="B7" s="49"/>
      <c r="C7" s="56"/>
      <c r="D7" s="92"/>
      <c r="E7" s="94"/>
      <c r="F7" s="102"/>
      <c r="H7" s="52"/>
      <c r="I7" s="49"/>
      <c r="J7" s="61"/>
      <c r="K7" s="82"/>
      <c r="L7" s="62"/>
      <c r="M7" s="106"/>
      <c r="N7"/>
      <c r="O7" s="13">
        <f t="shared" si="0"/>
        <v>0</v>
      </c>
      <c r="P7" s="13">
        <f t="shared" si="1"/>
        <v>0</v>
      </c>
      <c r="Q7" s="13">
        <f t="shared" si="2"/>
        <v>0</v>
      </c>
      <c r="R7" s="13" t="str">
        <f t="shared" si="3"/>
        <v/>
      </c>
      <c r="S7" s="1"/>
    </row>
    <row r="8" spans="1:19" x14ac:dyDescent="0.45">
      <c r="A8" s="50"/>
      <c r="B8" s="51"/>
      <c r="C8" s="95"/>
      <c r="D8" s="89"/>
      <c r="E8" s="96"/>
      <c r="F8" s="99"/>
      <c r="H8" s="50"/>
      <c r="I8" s="51"/>
      <c r="J8" s="59"/>
      <c r="K8" s="81"/>
      <c r="L8" s="60"/>
      <c r="M8" s="104"/>
      <c r="N8"/>
      <c r="O8" s="13">
        <f t="shared" si="0"/>
        <v>0</v>
      </c>
      <c r="P8" s="13">
        <f t="shared" si="1"/>
        <v>0</v>
      </c>
      <c r="Q8" s="13">
        <f t="shared" si="2"/>
        <v>0</v>
      </c>
      <c r="R8" s="13" t="str">
        <f t="shared" si="3"/>
        <v/>
      </c>
      <c r="S8" s="1"/>
    </row>
    <row r="9" spans="1:19" x14ac:dyDescent="0.45">
      <c r="A9" s="52"/>
      <c r="B9" s="49"/>
      <c r="C9" s="56"/>
      <c r="D9" s="92"/>
      <c r="E9" s="94"/>
      <c r="F9" s="102"/>
      <c r="H9" s="52"/>
      <c r="I9" s="49"/>
      <c r="J9" s="61"/>
      <c r="K9" s="82"/>
      <c r="L9" s="62"/>
      <c r="M9" s="106"/>
      <c r="N9"/>
      <c r="O9" s="13">
        <f t="shared" si="0"/>
        <v>0</v>
      </c>
      <c r="P9" s="13">
        <f t="shared" si="1"/>
        <v>0</v>
      </c>
      <c r="Q9" s="13">
        <f t="shared" si="2"/>
        <v>0</v>
      </c>
      <c r="R9" s="13" t="str">
        <f t="shared" si="3"/>
        <v/>
      </c>
      <c r="S9" s="1"/>
    </row>
    <row r="10" spans="1:19" x14ac:dyDescent="0.45">
      <c r="A10" s="50"/>
      <c r="B10" s="51"/>
      <c r="C10" s="95"/>
      <c r="D10" s="89"/>
      <c r="E10" s="96"/>
      <c r="F10" s="99"/>
      <c r="H10" s="50"/>
      <c r="I10" s="51"/>
      <c r="J10" s="59"/>
      <c r="K10" s="81"/>
      <c r="L10" s="60"/>
      <c r="M10" s="104"/>
      <c r="N10"/>
      <c r="O10" s="13">
        <f t="shared" si="0"/>
        <v>0</v>
      </c>
      <c r="P10" s="13">
        <f t="shared" si="1"/>
        <v>0</v>
      </c>
      <c r="Q10" s="13">
        <f t="shared" si="2"/>
        <v>0</v>
      </c>
      <c r="R10" s="13" t="str">
        <f t="shared" si="3"/>
        <v/>
      </c>
      <c r="S10" s="1"/>
    </row>
    <row r="11" spans="1:19" x14ac:dyDescent="0.45">
      <c r="A11" s="52"/>
      <c r="B11" s="49"/>
      <c r="C11" s="56"/>
      <c r="D11" s="92"/>
      <c r="E11" s="94"/>
      <c r="F11" s="102"/>
      <c r="H11" s="52"/>
      <c r="I11" s="49"/>
      <c r="J11" s="61"/>
      <c r="K11" s="82"/>
      <c r="L11" s="62"/>
      <c r="M11" s="106"/>
      <c r="N11"/>
      <c r="O11" s="13">
        <f t="shared" si="0"/>
        <v>0</v>
      </c>
      <c r="P11" s="13">
        <f t="shared" si="1"/>
        <v>0</v>
      </c>
      <c r="Q11" s="13">
        <f t="shared" si="2"/>
        <v>0</v>
      </c>
      <c r="R11" s="13" t="str">
        <f t="shared" si="3"/>
        <v/>
      </c>
      <c r="S11" s="1"/>
    </row>
    <row r="12" spans="1:19" x14ac:dyDescent="0.45">
      <c r="A12" s="50"/>
      <c r="B12" s="51"/>
      <c r="C12" s="95"/>
      <c r="D12" s="89"/>
      <c r="E12" s="96"/>
      <c r="F12" s="99"/>
      <c r="H12" s="50"/>
      <c r="I12" s="51"/>
      <c r="J12" s="59"/>
      <c r="K12" s="81"/>
      <c r="L12" s="60"/>
      <c r="M12" s="104"/>
      <c r="N12"/>
      <c r="O12" s="13">
        <f t="shared" si="0"/>
        <v>0</v>
      </c>
      <c r="P12" s="13">
        <f t="shared" si="1"/>
        <v>0</v>
      </c>
      <c r="Q12" s="13">
        <f t="shared" si="2"/>
        <v>0</v>
      </c>
      <c r="R12" s="13" t="str">
        <f t="shared" si="3"/>
        <v/>
      </c>
      <c r="S12" s="1"/>
    </row>
    <row r="13" spans="1:19" x14ac:dyDescent="0.45">
      <c r="A13" s="52"/>
      <c r="B13" s="49"/>
      <c r="C13" s="56"/>
      <c r="D13" s="92"/>
      <c r="E13" s="94"/>
      <c r="F13" s="102"/>
      <c r="H13" s="52"/>
      <c r="I13" s="49"/>
      <c r="J13" s="61"/>
      <c r="K13" s="82"/>
      <c r="L13" s="62"/>
      <c r="M13" s="106"/>
      <c r="N13"/>
      <c r="O13" s="13">
        <f t="shared" si="0"/>
        <v>0</v>
      </c>
      <c r="P13" s="13">
        <f t="shared" si="1"/>
        <v>0</v>
      </c>
      <c r="Q13" s="13">
        <f t="shared" si="2"/>
        <v>0</v>
      </c>
      <c r="R13" s="13" t="str">
        <f t="shared" si="3"/>
        <v/>
      </c>
      <c r="S13" s="1"/>
    </row>
    <row r="14" spans="1:19" x14ac:dyDescent="0.45">
      <c r="A14" s="50"/>
      <c r="B14" s="51"/>
      <c r="C14" s="95"/>
      <c r="D14" s="89"/>
      <c r="E14" s="96"/>
      <c r="F14" s="99"/>
      <c r="H14" s="50"/>
      <c r="I14" s="51"/>
      <c r="J14" s="59"/>
      <c r="K14" s="81"/>
      <c r="L14" s="60"/>
      <c r="M14" s="104"/>
      <c r="N14"/>
      <c r="O14" s="13">
        <f t="shared" si="0"/>
        <v>0</v>
      </c>
      <c r="P14" s="13">
        <f t="shared" si="1"/>
        <v>0</v>
      </c>
      <c r="Q14" s="13">
        <f t="shared" si="2"/>
        <v>0</v>
      </c>
      <c r="R14" s="13" t="str">
        <f t="shared" si="3"/>
        <v/>
      </c>
      <c r="S14" s="1"/>
    </row>
    <row r="15" spans="1:19" x14ac:dyDescent="0.45">
      <c r="A15" s="52"/>
      <c r="B15" s="49"/>
      <c r="C15" s="56"/>
      <c r="D15" s="92"/>
      <c r="E15" s="94"/>
      <c r="F15" s="102"/>
      <c r="H15" s="52"/>
      <c r="I15" s="49"/>
      <c r="J15" s="61"/>
      <c r="K15" s="82"/>
      <c r="L15" s="62"/>
      <c r="M15" s="106"/>
      <c r="N15"/>
      <c r="O15" s="13">
        <f t="shared" si="0"/>
        <v>0</v>
      </c>
      <c r="P15" s="13">
        <f t="shared" si="1"/>
        <v>0</v>
      </c>
      <c r="Q15" s="13">
        <f t="shared" si="2"/>
        <v>0</v>
      </c>
      <c r="R15" s="13" t="str">
        <f t="shared" si="3"/>
        <v/>
      </c>
      <c r="S15" s="1"/>
    </row>
    <row r="16" spans="1:19" x14ac:dyDescent="0.45">
      <c r="A16" s="50"/>
      <c r="B16" s="51"/>
      <c r="C16" s="95"/>
      <c r="D16" s="89"/>
      <c r="E16" s="96"/>
      <c r="F16" s="99"/>
      <c r="H16" s="50"/>
      <c r="I16" s="51"/>
      <c r="J16" s="59"/>
      <c r="K16" s="81"/>
      <c r="L16" s="60"/>
      <c r="M16" s="104"/>
      <c r="N16"/>
      <c r="O16" s="13">
        <f t="shared" si="0"/>
        <v>0</v>
      </c>
      <c r="P16" s="13">
        <f t="shared" si="1"/>
        <v>0</v>
      </c>
      <c r="Q16" s="13">
        <f t="shared" si="2"/>
        <v>0</v>
      </c>
      <c r="R16" s="13" t="str">
        <f t="shared" si="3"/>
        <v/>
      </c>
      <c r="S16" s="1"/>
    </row>
    <row r="17" spans="1:19" x14ac:dyDescent="0.45">
      <c r="A17" s="52"/>
      <c r="B17" s="49"/>
      <c r="C17" s="56"/>
      <c r="D17" s="92"/>
      <c r="E17" s="94"/>
      <c r="F17" s="102"/>
      <c r="H17" s="52"/>
      <c r="I17" s="49"/>
      <c r="J17" s="61"/>
      <c r="K17" s="82"/>
      <c r="L17" s="62"/>
      <c r="M17" s="106"/>
      <c r="N17"/>
      <c r="O17" s="13">
        <f t="shared" si="0"/>
        <v>0</v>
      </c>
      <c r="P17" s="13">
        <f t="shared" si="1"/>
        <v>0</v>
      </c>
      <c r="Q17" s="13">
        <f t="shared" si="2"/>
        <v>0</v>
      </c>
      <c r="R17" s="13" t="str">
        <f t="shared" si="3"/>
        <v/>
      </c>
      <c r="S17" s="1"/>
    </row>
    <row r="18" spans="1:19" x14ac:dyDescent="0.45">
      <c r="A18" s="50"/>
      <c r="B18" s="51"/>
      <c r="C18" s="95"/>
      <c r="D18" s="89"/>
      <c r="E18" s="96"/>
      <c r="F18" s="99"/>
      <c r="H18" s="50"/>
      <c r="I18" s="51"/>
      <c r="J18" s="59"/>
      <c r="K18" s="81"/>
      <c r="L18" s="60"/>
      <c r="M18" s="104"/>
      <c r="N18"/>
      <c r="O18" s="13">
        <f t="shared" si="0"/>
        <v>0</v>
      </c>
      <c r="P18" s="13">
        <f t="shared" si="1"/>
        <v>0</v>
      </c>
      <c r="Q18" s="13">
        <f t="shared" si="2"/>
        <v>0</v>
      </c>
      <c r="R18" s="13" t="str">
        <f t="shared" si="3"/>
        <v/>
      </c>
      <c r="S18" s="1"/>
    </row>
    <row r="19" spans="1:19" x14ac:dyDescent="0.45">
      <c r="A19" s="52"/>
      <c r="B19" s="49"/>
      <c r="C19" s="56"/>
      <c r="D19" s="92"/>
      <c r="E19" s="94"/>
      <c r="F19" s="102"/>
      <c r="H19" s="52"/>
      <c r="I19" s="49"/>
      <c r="J19" s="61"/>
      <c r="K19" s="82"/>
      <c r="L19" s="62"/>
      <c r="M19" s="106"/>
      <c r="N19"/>
      <c r="O19" s="13">
        <f t="shared" si="0"/>
        <v>0</v>
      </c>
      <c r="P19" s="13">
        <f t="shared" si="1"/>
        <v>0</v>
      </c>
      <c r="Q19" s="13">
        <f t="shared" si="2"/>
        <v>0</v>
      </c>
      <c r="R19" s="13" t="str">
        <f t="shared" si="3"/>
        <v/>
      </c>
      <c r="S19" s="1"/>
    </row>
    <row r="20" spans="1:19" x14ac:dyDescent="0.45">
      <c r="A20" s="50"/>
      <c r="B20" s="51"/>
      <c r="C20" s="95"/>
      <c r="D20" s="89"/>
      <c r="E20" s="96"/>
      <c r="F20" s="99"/>
      <c r="H20" s="50"/>
      <c r="I20" s="51"/>
      <c r="J20" s="59"/>
      <c r="K20" s="81"/>
      <c r="L20" s="60"/>
      <c r="M20" s="104"/>
      <c r="N20"/>
      <c r="O20" s="13">
        <f t="shared" si="0"/>
        <v>0</v>
      </c>
      <c r="P20" s="13">
        <f t="shared" si="1"/>
        <v>0</v>
      </c>
      <c r="Q20" s="13">
        <f t="shared" si="2"/>
        <v>0</v>
      </c>
      <c r="R20" s="13" t="str">
        <f t="shared" si="3"/>
        <v/>
      </c>
      <c r="S20" s="1"/>
    </row>
    <row r="21" spans="1:19" x14ac:dyDescent="0.45">
      <c r="A21" s="52"/>
      <c r="B21" s="49"/>
      <c r="C21" s="56"/>
      <c r="D21" s="92"/>
      <c r="E21" s="94"/>
      <c r="F21" s="102"/>
      <c r="H21" s="52"/>
      <c r="I21" s="49"/>
      <c r="J21" s="61"/>
      <c r="K21" s="82"/>
      <c r="L21" s="62"/>
      <c r="M21" s="106"/>
      <c r="N21"/>
      <c r="O21" s="13">
        <f t="shared" si="0"/>
        <v>0</v>
      </c>
      <c r="P21" s="13">
        <f t="shared" si="1"/>
        <v>0</v>
      </c>
      <c r="Q21" s="13">
        <f t="shared" si="2"/>
        <v>0</v>
      </c>
      <c r="R21" s="13" t="str">
        <f t="shared" si="3"/>
        <v/>
      </c>
      <c r="S21" s="1"/>
    </row>
    <row r="22" spans="1:19" x14ac:dyDescent="0.45">
      <c r="A22" s="50"/>
      <c r="B22" s="51"/>
      <c r="C22" s="95"/>
      <c r="D22" s="89"/>
      <c r="E22" s="96"/>
      <c r="F22" s="99"/>
      <c r="H22" s="50"/>
      <c r="I22" s="51"/>
      <c r="J22" s="59"/>
      <c r="K22" s="81"/>
      <c r="L22" s="60"/>
      <c r="M22" s="104"/>
      <c r="N22"/>
      <c r="O22" s="13">
        <f t="shared" si="0"/>
        <v>0</v>
      </c>
      <c r="P22" s="13">
        <f t="shared" si="1"/>
        <v>0</v>
      </c>
      <c r="Q22" s="13">
        <f t="shared" si="2"/>
        <v>0</v>
      </c>
      <c r="R22" s="13" t="str">
        <f t="shared" si="3"/>
        <v/>
      </c>
      <c r="S22" s="1"/>
    </row>
    <row r="23" spans="1:19" x14ac:dyDescent="0.45">
      <c r="A23" s="52"/>
      <c r="B23" s="49"/>
      <c r="C23" s="56"/>
      <c r="D23" s="92"/>
      <c r="E23" s="94"/>
      <c r="F23" s="102"/>
      <c r="H23" s="52"/>
      <c r="I23" s="49"/>
      <c r="J23" s="61"/>
      <c r="K23" s="82"/>
      <c r="L23" s="62"/>
      <c r="M23" s="106"/>
      <c r="N23"/>
      <c r="O23" s="13">
        <f t="shared" si="0"/>
        <v>0</v>
      </c>
      <c r="P23" s="13">
        <f t="shared" si="1"/>
        <v>0</v>
      </c>
      <c r="Q23" s="13">
        <f t="shared" si="2"/>
        <v>0</v>
      </c>
      <c r="R23" s="13" t="str">
        <f t="shared" si="3"/>
        <v/>
      </c>
      <c r="S23" s="1"/>
    </row>
    <row r="24" spans="1:19" x14ac:dyDescent="0.45">
      <c r="A24" s="50"/>
      <c r="B24" s="51"/>
      <c r="C24" s="95"/>
      <c r="D24" s="89"/>
      <c r="E24" s="96"/>
      <c r="F24" s="99"/>
      <c r="H24" s="50"/>
      <c r="I24" s="51"/>
      <c r="J24" s="59"/>
      <c r="K24" s="81"/>
      <c r="L24" s="60"/>
      <c r="M24" s="104"/>
      <c r="N24"/>
      <c r="O24" s="13">
        <f t="shared" si="0"/>
        <v>0</v>
      </c>
      <c r="P24" s="13">
        <f t="shared" si="1"/>
        <v>0</v>
      </c>
      <c r="Q24" s="13">
        <f t="shared" si="2"/>
        <v>0</v>
      </c>
      <c r="R24" s="13" t="str">
        <f t="shared" si="3"/>
        <v/>
      </c>
      <c r="S24" s="1"/>
    </row>
    <row r="25" spans="1:19" x14ac:dyDescent="0.45">
      <c r="A25" s="52"/>
      <c r="B25" s="49"/>
      <c r="C25" s="56"/>
      <c r="D25" s="92"/>
      <c r="E25" s="94"/>
      <c r="F25" s="102"/>
      <c r="H25" s="52"/>
      <c r="I25" s="49"/>
      <c r="J25" s="61"/>
      <c r="K25" s="82"/>
      <c r="L25" s="62"/>
      <c r="M25" s="106"/>
      <c r="N25"/>
      <c r="O25" s="13">
        <f t="shared" si="0"/>
        <v>0</v>
      </c>
      <c r="P25" s="13">
        <f t="shared" si="1"/>
        <v>0</v>
      </c>
      <c r="Q25" s="13">
        <f t="shared" si="2"/>
        <v>0</v>
      </c>
      <c r="R25" s="13" t="str">
        <f t="shared" si="3"/>
        <v/>
      </c>
      <c r="S25" s="1"/>
    </row>
    <row r="26" spans="1:19" x14ac:dyDescent="0.45">
      <c r="A26" s="50"/>
      <c r="B26" s="51"/>
      <c r="C26" s="95"/>
      <c r="D26" s="89"/>
      <c r="E26" s="96"/>
      <c r="F26" s="99"/>
      <c r="H26" s="50"/>
      <c r="I26" s="51"/>
      <c r="J26" s="59"/>
      <c r="K26" s="81"/>
      <c r="L26" s="60"/>
      <c r="M26" s="104"/>
      <c r="N26"/>
      <c r="O26" s="13">
        <f t="shared" si="0"/>
        <v>0</v>
      </c>
      <c r="P26" s="13">
        <f t="shared" si="1"/>
        <v>0</v>
      </c>
      <c r="Q26" s="13">
        <f t="shared" si="2"/>
        <v>0</v>
      </c>
      <c r="R26" s="13" t="str">
        <f t="shared" si="3"/>
        <v/>
      </c>
      <c r="S26" s="1"/>
    </row>
    <row r="27" spans="1:19" x14ac:dyDescent="0.45">
      <c r="A27" s="52"/>
      <c r="B27" s="49"/>
      <c r="C27" s="56"/>
      <c r="D27" s="92"/>
      <c r="E27" s="94"/>
      <c r="F27" s="102"/>
      <c r="H27" s="52"/>
      <c r="I27" s="49"/>
      <c r="J27" s="61"/>
      <c r="K27" s="82"/>
      <c r="L27" s="62"/>
      <c r="M27" s="106"/>
      <c r="N27"/>
      <c r="O27" s="13">
        <f t="shared" si="0"/>
        <v>0</v>
      </c>
      <c r="P27" s="13">
        <f t="shared" si="1"/>
        <v>0</v>
      </c>
      <c r="Q27" s="13">
        <f t="shared" si="2"/>
        <v>0</v>
      </c>
      <c r="R27" s="13" t="str">
        <f t="shared" si="3"/>
        <v/>
      </c>
      <c r="S27" s="1"/>
    </row>
    <row r="28" spans="1:19" x14ac:dyDescent="0.45">
      <c r="A28" s="50"/>
      <c r="B28" s="51"/>
      <c r="C28" s="95"/>
      <c r="D28" s="89"/>
      <c r="E28" s="96"/>
      <c r="F28" s="99"/>
      <c r="H28" s="50"/>
      <c r="I28" s="51"/>
      <c r="J28" s="59"/>
      <c r="K28" s="81"/>
      <c r="L28" s="60"/>
      <c r="M28" s="104"/>
      <c r="N28"/>
      <c r="O28" s="13">
        <f t="shared" si="0"/>
        <v>0</v>
      </c>
      <c r="P28" s="13">
        <f t="shared" si="1"/>
        <v>0</v>
      </c>
      <c r="Q28" s="13">
        <f t="shared" si="2"/>
        <v>0</v>
      </c>
      <c r="R28" s="13" t="str">
        <f t="shared" si="3"/>
        <v/>
      </c>
      <c r="S28" s="1"/>
    </row>
    <row r="29" spans="1:19" x14ac:dyDescent="0.45">
      <c r="A29" s="52"/>
      <c r="B29" s="49"/>
      <c r="C29" s="56"/>
      <c r="D29" s="92"/>
      <c r="E29" s="94"/>
      <c r="F29" s="102"/>
      <c r="H29" s="52"/>
      <c r="I29" s="49"/>
      <c r="J29" s="61"/>
      <c r="K29" s="82"/>
      <c r="L29" s="62"/>
      <c r="M29" s="106"/>
      <c r="N29"/>
      <c r="O29" s="13">
        <f t="shared" si="0"/>
        <v>0</v>
      </c>
      <c r="P29" s="13">
        <f t="shared" si="1"/>
        <v>0</v>
      </c>
      <c r="Q29" s="13">
        <f t="shared" si="2"/>
        <v>0</v>
      </c>
      <c r="R29" s="13" t="str">
        <f t="shared" si="3"/>
        <v/>
      </c>
      <c r="S29" s="1"/>
    </row>
    <row r="30" spans="1:19" x14ac:dyDescent="0.45">
      <c r="A30" s="50"/>
      <c r="B30" s="51"/>
      <c r="C30" s="95"/>
      <c r="D30" s="89"/>
      <c r="E30" s="96"/>
      <c r="F30" s="99"/>
      <c r="H30" s="50"/>
      <c r="I30" s="51"/>
      <c r="J30" s="59"/>
      <c r="K30" s="81"/>
      <c r="L30" s="60"/>
      <c r="M30" s="104"/>
      <c r="N30"/>
      <c r="O30" s="13">
        <f t="shared" si="0"/>
        <v>0</v>
      </c>
      <c r="P30" s="13">
        <f t="shared" si="1"/>
        <v>0</v>
      </c>
      <c r="Q30" s="13">
        <f t="shared" si="2"/>
        <v>0</v>
      </c>
      <c r="R30" s="13" t="str">
        <f t="shared" si="3"/>
        <v/>
      </c>
      <c r="S30" s="1"/>
    </row>
    <row r="31" spans="1:19" x14ac:dyDescent="0.45">
      <c r="A31" s="52"/>
      <c r="B31" s="52"/>
      <c r="C31" s="53"/>
      <c r="D31" s="72"/>
      <c r="E31" s="54"/>
      <c r="F31" s="103"/>
      <c r="H31" s="52"/>
      <c r="I31" s="63"/>
      <c r="J31" s="52"/>
      <c r="K31" s="83"/>
      <c r="L31" s="64"/>
      <c r="M31" s="107"/>
    </row>
    <row r="32" spans="1:19" ht="18" thickBot="1" x14ac:dyDescent="0.5">
      <c r="A32" s="55"/>
      <c r="B32" s="55"/>
      <c r="C32" s="43"/>
      <c r="D32" s="73"/>
      <c r="E32" s="39"/>
      <c r="F32" s="100"/>
      <c r="H32" s="55"/>
      <c r="I32" s="65"/>
      <c r="J32" s="55"/>
      <c r="K32" s="84"/>
      <c r="L32" s="38"/>
      <c r="M32" s="38"/>
    </row>
  </sheetData>
  <mergeCells count="2">
    <mergeCell ref="A1:D1"/>
    <mergeCell ref="H1:K1"/>
  </mergeCells>
  <phoneticPr fontId="2"/>
  <conditionalFormatting sqref="E31:E32">
    <cfRule type="expression" dxfId="9" priority="4">
      <formula>$E31&lt;0</formula>
    </cfRule>
  </conditionalFormatting>
  <conditionalFormatting sqref="L31:L32">
    <cfRule type="expression" dxfId="8" priority="5">
      <formula>$L31&lt;0</formula>
    </cfRule>
  </conditionalFormatting>
  <conditionalFormatting sqref="E3:E30">
    <cfRule type="expression" dxfId="3" priority="1">
      <formula>$E3&lt;0</formula>
    </cfRule>
  </conditionalFormatting>
  <conditionalFormatting sqref="L3:L30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114" t="str">
        <f>"売上　計画ｘ見込み（" &amp; TEXT(B3, "yyyy年m月") &amp; "）"</f>
        <v>売上　計画ｘ見込み（1900年1月）</v>
      </c>
      <c r="B1" s="114"/>
      <c r="C1" s="114"/>
      <c r="D1" s="114"/>
      <c r="H1" s="116" t="str">
        <f>"稼働率　計画ｘ見込み（" &amp; TEXT(B3, "yyyy年m月") &amp; "）"</f>
        <v>稼働率　計画ｘ見込み（1900年1月）</v>
      </c>
      <c r="I1" s="114"/>
      <c r="J1" s="114"/>
      <c r="K1" s="114"/>
      <c r="Q1" s="1"/>
      <c r="R1" s="1"/>
      <c r="S1" s="1"/>
    </row>
    <row r="2" spans="1:19" ht="25.05" customHeight="1" x14ac:dyDescent="0.45">
      <c r="A2" s="44" t="s">
        <v>12</v>
      </c>
      <c r="B2" s="45" t="s">
        <v>34</v>
      </c>
      <c r="C2" s="46" t="s">
        <v>1</v>
      </c>
      <c r="D2" s="71" t="s">
        <v>36</v>
      </c>
      <c r="E2" s="47" t="s">
        <v>13</v>
      </c>
      <c r="F2" s="101" t="s">
        <v>40</v>
      </c>
      <c r="G2" s="41"/>
      <c r="H2" s="44" t="s">
        <v>12</v>
      </c>
      <c r="I2" s="45" t="s">
        <v>34</v>
      </c>
      <c r="J2" s="46" t="s">
        <v>2</v>
      </c>
      <c r="K2" s="93" t="s">
        <v>35</v>
      </c>
      <c r="L2" s="47" t="s">
        <v>14</v>
      </c>
      <c r="M2" s="108" t="s">
        <v>42</v>
      </c>
      <c r="O2" s="5" t="s">
        <v>9</v>
      </c>
      <c r="P2" s="5" t="s">
        <v>37</v>
      </c>
      <c r="Q2" s="5" t="s">
        <v>8</v>
      </c>
      <c r="R2" s="5" t="s">
        <v>41</v>
      </c>
      <c r="S2" s="1"/>
    </row>
    <row r="3" spans="1:19" x14ac:dyDescent="0.45">
      <c r="A3" s="48"/>
      <c r="B3" s="49"/>
      <c r="C3" s="56"/>
      <c r="D3" s="86"/>
      <c r="E3" s="94"/>
      <c r="F3" s="102"/>
      <c r="G3" s="11"/>
      <c r="H3" s="56"/>
      <c r="I3" s="49"/>
      <c r="J3" s="57"/>
      <c r="K3" s="80"/>
      <c r="L3" s="58"/>
      <c r="M3" s="105"/>
      <c r="N3" s="11"/>
      <c r="O3" s="13">
        <f>C3/10000</f>
        <v>0</v>
      </c>
      <c r="P3" s="13">
        <f>D3/10000</f>
        <v>0</v>
      </c>
      <c r="Q3" s="13">
        <f>E3/10000</f>
        <v>0</v>
      </c>
      <c r="R3" s="13" t="str">
        <f>IF(OR(F3="",F3=0),"",(D3+F3)/10000)</f>
        <v/>
      </c>
      <c r="S3" s="1"/>
    </row>
    <row r="4" spans="1:19" x14ac:dyDescent="0.45">
      <c r="A4" s="50"/>
      <c r="B4" s="51"/>
      <c r="C4" s="95"/>
      <c r="D4" s="89"/>
      <c r="E4" s="97"/>
      <c r="F4" s="99"/>
      <c r="H4" s="50"/>
      <c r="I4" s="51"/>
      <c r="J4" s="59"/>
      <c r="K4" s="81"/>
      <c r="L4" s="60"/>
      <c r="M4" s="104"/>
      <c r="N4" s="10"/>
      <c r="O4" s="13">
        <f t="shared" ref="O4:Q30" si="0">C4/10000</f>
        <v>0</v>
      </c>
      <c r="P4" s="13">
        <f t="shared" si="0"/>
        <v>0</v>
      </c>
      <c r="Q4" s="13">
        <f t="shared" si="0"/>
        <v>0</v>
      </c>
      <c r="R4" s="13" t="str">
        <f t="shared" ref="R4:R30" si="1">IF(OR(F4="",F4=0),"",(D4+F4)/10000)</f>
        <v/>
      </c>
      <c r="S4" s="1"/>
    </row>
    <row r="5" spans="1:19" x14ac:dyDescent="0.45">
      <c r="A5" s="52"/>
      <c r="B5" s="49"/>
      <c r="C5" s="56"/>
      <c r="D5" s="92"/>
      <c r="E5" s="98"/>
      <c r="F5" s="102"/>
      <c r="H5" s="52"/>
      <c r="I5" s="49"/>
      <c r="J5" s="61"/>
      <c r="K5" s="82"/>
      <c r="L5" s="62"/>
      <c r="M5" s="106"/>
      <c r="N5" s="10"/>
      <c r="O5" s="13">
        <f t="shared" si="0"/>
        <v>0</v>
      </c>
      <c r="P5" s="13">
        <f t="shared" si="0"/>
        <v>0</v>
      </c>
      <c r="Q5" s="13">
        <f t="shared" si="0"/>
        <v>0</v>
      </c>
      <c r="R5" s="13" t="str">
        <f>IF(OR(F5="",F5=0),"",(D5+F5)/10000)</f>
        <v/>
      </c>
      <c r="S5" s="1"/>
    </row>
    <row r="6" spans="1:19" x14ac:dyDescent="0.45">
      <c r="A6" s="50"/>
      <c r="B6" s="51"/>
      <c r="C6" s="95"/>
      <c r="D6" s="89"/>
      <c r="E6" s="97"/>
      <c r="F6" s="99"/>
      <c r="H6" s="50"/>
      <c r="I6" s="51"/>
      <c r="J6" s="59"/>
      <c r="K6" s="81"/>
      <c r="L6" s="60"/>
      <c r="M6" s="104"/>
      <c r="N6" s="10"/>
      <c r="O6" s="13">
        <f t="shared" si="0"/>
        <v>0</v>
      </c>
      <c r="P6" s="13">
        <f t="shared" si="0"/>
        <v>0</v>
      </c>
      <c r="Q6" s="13">
        <f t="shared" si="0"/>
        <v>0</v>
      </c>
      <c r="R6" s="13" t="str">
        <f t="shared" si="1"/>
        <v/>
      </c>
      <c r="S6" s="1"/>
    </row>
    <row r="7" spans="1:19" x14ac:dyDescent="0.45">
      <c r="A7" s="52"/>
      <c r="B7" s="49"/>
      <c r="C7" s="56"/>
      <c r="D7" s="92"/>
      <c r="E7" s="98"/>
      <c r="F7" s="102"/>
      <c r="H7" s="52"/>
      <c r="I7" s="49"/>
      <c r="J7" s="61"/>
      <c r="K7" s="82"/>
      <c r="L7" s="62"/>
      <c r="M7" s="106"/>
      <c r="N7"/>
      <c r="O7" s="13">
        <f t="shared" si="0"/>
        <v>0</v>
      </c>
      <c r="P7" s="13">
        <f t="shared" si="0"/>
        <v>0</v>
      </c>
      <c r="Q7" s="13">
        <f t="shared" si="0"/>
        <v>0</v>
      </c>
      <c r="R7" s="13" t="str">
        <f t="shared" si="1"/>
        <v/>
      </c>
      <c r="S7" s="1"/>
    </row>
    <row r="8" spans="1:19" x14ac:dyDescent="0.45">
      <c r="A8" s="50"/>
      <c r="B8" s="51"/>
      <c r="C8" s="95"/>
      <c r="D8" s="89"/>
      <c r="E8" s="97"/>
      <c r="F8" s="99"/>
      <c r="H8" s="50"/>
      <c r="I8" s="51"/>
      <c r="J8" s="59"/>
      <c r="K8" s="81"/>
      <c r="L8" s="60"/>
      <c r="M8" s="104"/>
      <c r="N8"/>
      <c r="O8" s="13">
        <f t="shared" si="0"/>
        <v>0</v>
      </c>
      <c r="P8" s="13">
        <f t="shared" si="0"/>
        <v>0</v>
      </c>
      <c r="Q8" s="13">
        <f t="shared" si="0"/>
        <v>0</v>
      </c>
      <c r="R8" s="13" t="str">
        <f t="shared" si="1"/>
        <v/>
      </c>
      <c r="S8" s="1"/>
    </row>
    <row r="9" spans="1:19" x14ac:dyDescent="0.45">
      <c r="A9" s="52"/>
      <c r="B9" s="49"/>
      <c r="C9" s="56"/>
      <c r="D9" s="92"/>
      <c r="E9" s="98"/>
      <c r="F9" s="102"/>
      <c r="H9" s="52"/>
      <c r="I9" s="49"/>
      <c r="J9" s="61"/>
      <c r="K9" s="82"/>
      <c r="L9" s="62"/>
      <c r="M9" s="106"/>
      <c r="N9"/>
      <c r="O9" s="13">
        <f t="shared" si="0"/>
        <v>0</v>
      </c>
      <c r="P9" s="13">
        <f t="shared" si="0"/>
        <v>0</v>
      </c>
      <c r="Q9" s="13">
        <f t="shared" si="0"/>
        <v>0</v>
      </c>
      <c r="R9" s="13" t="str">
        <f t="shared" si="1"/>
        <v/>
      </c>
      <c r="S9" s="1"/>
    </row>
    <row r="10" spans="1:19" x14ac:dyDescent="0.45">
      <c r="A10" s="50"/>
      <c r="B10" s="51"/>
      <c r="C10" s="95"/>
      <c r="D10" s="89"/>
      <c r="E10" s="97"/>
      <c r="F10" s="99"/>
      <c r="H10" s="50"/>
      <c r="I10" s="51"/>
      <c r="J10" s="59"/>
      <c r="K10" s="81"/>
      <c r="L10" s="60"/>
      <c r="M10" s="104"/>
      <c r="N10"/>
      <c r="O10" s="13">
        <f t="shared" si="0"/>
        <v>0</v>
      </c>
      <c r="P10" s="13">
        <f t="shared" si="0"/>
        <v>0</v>
      </c>
      <c r="Q10" s="13">
        <f t="shared" si="0"/>
        <v>0</v>
      </c>
      <c r="R10" s="13" t="str">
        <f t="shared" si="1"/>
        <v/>
      </c>
      <c r="S10" s="1"/>
    </row>
    <row r="11" spans="1:19" x14ac:dyDescent="0.45">
      <c r="A11" s="52"/>
      <c r="B11" s="49"/>
      <c r="C11" s="56"/>
      <c r="D11" s="92"/>
      <c r="E11" s="98"/>
      <c r="F11" s="102"/>
      <c r="H11" s="52"/>
      <c r="I11" s="49"/>
      <c r="J11" s="61"/>
      <c r="K11" s="82"/>
      <c r="L11" s="62"/>
      <c r="M11" s="106"/>
      <c r="N11"/>
      <c r="O11" s="13">
        <f t="shared" si="0"/>
        <v>0</v>
      </c>
      <c r="P11" s="13">
        <f t="shared" si="0"/>
        <v>0</v>
      </c>
      <c r="Q11" s="13">
        <f t="shared" si="0"/>
        <v>0</v>
      </c>
      <c r="R11" s="13" t="str">
        <f t="shared" si="1"/>
        <v/>
      </c>
      <c r="S11" s="1"/>
    </row>
    <row r="12" spans="1:19" x14ac:dyDescent="0.45">
      <c r="A12" s="50"/>
      <c r="B12" s="51"/>
      <c r="C12" s="95"/>
      <c r="D12" s="89"/>
      <c r="E12" s="97"/>
      <c r="F12" s="99"/>
      <c r="H12" s="50"/>
      <c r="I12" s="51"/>
      <c r="J12" s="59"/>
      <c r="K12" s="81"/>
      <c r="L12" s="60"/>
      <c r="M12" s="104"/>
      <c r="N12"/>
      <c r="O12" s="13">
        <f t="shared" si="0"/>
        <v>0</v>
      </c>
      <c r="P12" s="13">
        <f t="shared" si="0"/>
        <v>0</v>
      </c>
      <c r="Q12" s="13">
        <f t="shared" si="0"/>
        <v>0</v>
      </c>
      <c r="R12" s="13" t="str">
        <f t="shared" si="1"/>
        <v/>
      </c>
      <c r="S12" s="1"/>
    </row>
    <row r="13" spans="1:19" x14ac:dyDescent="0.45">
      <c r="A13" s="52"/>
      <c r="B13" s="49"/>
      <c r="C13" s="56"/>
      <c r="D13" s="92"/>
      <c r="E13" s="98"/>
      <c r="F13" s="102"/>
      <c r="H13" s="52"/>
      <c r="I13" s="49"/>
      <c r="J13" s="61"/>
      <c r="K13" s="82"/>
      <c r="L13" s="62"/>
      <c r="M13" s="106"/>
      <c r="N13"/>
      <c r="O13" s="13">
        <f t="shared" si="0"/>
        <v>0</v>
      </c>
      <c r="P13" s="13">
        <f t="shared" si="0"/>
        <v>0</v>
      </c>
      <c r="Q13" s="13">
        <f t="shared" si="0"/>
        <v>0</v>
      </c>
      <c r="R13" s="13" t="str">
        <f t="shared" si="1"/>
        <v/>
      </c>
      <c r="S13" s="1"/>
    </row>
    <row r="14" spans="1:19" x14ac:dyDescent="0.45">
      <c r="A14" s="50"/>
      <c r="B14" s="51"/>
      <c r="C14" s="95"/>
      <c r="D14" s="89"/>
      <c r="E14" s="97"/>
      <c r="F14" s="99"/>
      <c r="H14" s="50"/>
      <c r="I14" s="51"/>
      <c r="J14" s="59"/>
      <c r="K14" s="81"/>
      <c r="L14" s="60"/>
      <c r="M14" s="104"/>
      <c r="N14"/>
      <c r="O14" s="13">
        <f t="shared" si="0"/>
        <v>0</v>
      </c>
      <c r="P14" s="13">
        <f t="shared" si="0"/>
        <v>0</v>
      </c>
      <c r="Q14" s="13">
        <f t="shared" si="0"/>
        <v>0</v>
      </c>
      <c r="R14" s="13" t="str">
        <f t="shared" si="1"/>
        <v/>
      </c>
      <c r="S14" s="1"/>
    </row>
    <row r="15" spans="1:19" x14ac:dyDescent="0.45">
      <c r="A15" s="52"/>
      <c r="B15" s="49"/>
      <c r="C15" s="56"/>
      <c r="D15" s="92"/>
      <c r="E15" s="98"/>
      <c r="F15" s="102"/>
      <c r="H15" s="52"/>
      <c r="I15" s="49"/>
      <c r="J15" s="61"/>
      <c r="K15" s="82"/>
      <c r="L15" s="62"/>
      <c r="M15" s="106"/>
      <c r="N15"/>
      <c r="O15" s="13">
        <f t="shared" si="0"/>
        <v>0</v>
      </c>
      <c r="P15" s="13">
        <f t="shared" si="0"/>
        <v>0</v>
      </c>
      <c r="Q15" s="13">
        <f t="shared" si="0"/>
        <v>0</v>
      </c>
      <c r="R15" s="13" t="str">
        <f t="shared" si="1"/>
        <v/>
      </c>
      <c r="S15" s="1"/>
    </row>
    <row r="16" spans="1:19" x14ac:dyDescent="0.45">
      <c r="A16" s="50"/>
      <c r="B16" s="51"/>
      <c r="C16" s="95"/>
      <c r="D16" s="89"/>
      <c r="E16" s="97"/>
      <c r="F16" s="99"/>
      <c r="H16" s="50"/>
      <c r="I16" s="51"/>
      <c r="J16" s="59"/>
      <c r="K16" s="81"/>
      <c r="L16" s="60"/>
      <c r="M16" s="104"/>
      <c r="N16"/>
      <c r="O16" s="13">
        <f t="shared" si="0"/>
        <v>0</v>
      </c>
      <c r="P16" s="13">
        <f t="shared" si="0"/>
        <v>0</v>
      </c>
      <c r="Q16" s="13">
        <f t="shared" si="0"/>
        <v>0</v>
      </c>
      <c r="R16" s="13" t="str">
        <f t="shared" si="1"/>
        <v/>
      </c>
      <c r="S16" s="1"/>
    </row>
    <row r="17" spans="1:19" x14ac:dyDescent="0.45">
      <c r="A17" s="52"/>
      <c r="B17" s="49"/>
      <c r="C17" s="56"/>
      <c r="D17" s="92"/>
      <c r="E17" s="98"/>
      <c r="F17" s="102"/>
      <c r="H17" s="52"/>
      <c r="I17" s="49"/>
      <c r="J17" s="61"/>
      <c r="K17" s="82"/>
      <c r="L17" s="62"/>
      <c r="M17" s="106"/>
      <c r="N17"/>
      <c r="O17" s="13">
        <f t="shared" si="0"/>
        <v>0</v>
      </c>
      <c r="P17" s="13">
        <f t="shared" si="0"/>
        <v>0</v>
      </c>
      <c r="Q17" s="13">
        <f t="shared" si="0"/>
        <v>0</v>
      </c>
      <c r="R17" s="13" t="str">
        <f t="shared" si="1"/>
        <v/>
      </c>
      <c r="S17" s="1"/>
    </row>
    <row r="18" spans="1:19" x14ac:dyDescent="0.45">
      <c r="A18" s="50"/>
      <c r="B18" s="51"/>
      <c r="C18" s="95"/>
      <c r="D18" s="89"/>
      <c r="E18" s="97"/>
      <c r="F18" s="99"/>
      <c r="H18" s="50"/>
      <c r="I18" s="51"/>
      <c r="J18" s="59"/>
      <c r="K18" s="81"/>
      <c r="L18" s="60"/>
      <c r="M18" s="104"/>
      <c r="N18"/>
      <c r="O18" s="13">
        <f t="shared" si="0"/>
        <v>0</v>
      </c>
      <c r="P18" s="13">
        <f t="shared" si="0"/>
        <v>0</v>
      </c>
      <c r="Q18" s="13">
        <f t="shared" si="0"/>
        <v>0</v>
      </c>
      <c r="R18" s="13" t="str">
        <f t="shared" si="1"/>
        <v/>
      </c>
      <c r="S18" s="1"/>
    </row>
    <row r="19" spans="1:19" x14ac:dyDescent="0.45">
      <c r="A19" s="52"/>
      <c r="B19" s="49"/>
      <c r="C19" s="56"/>
      <c r="D19" s="92"/>
      <c r="E19" s="98"/>
      <c r="F19" s="102"/>
      <c r="H19" s="52"/>
      <c r="I19" s="49"/>
      <c r="J19" s="61"/>
      <c r="K19" s="82"/>
      <c r="L19" s="62"/>
      <c r="M19" s="106"/>
      <c r="N19"/>
      <c r="O19" s="13">
        <f t="shared" si="0"/>
        <v>0</v>
      </c>
      <c r="P19" s="13">
        <f t="shared" si="0"/>
        <v>0</v>
      </c>
      <c r="Q19" s="13">
        <f t="shared" si="0"/>
        <v>0</v>
      </c>
      <c r="R19" s="13" t="str">
        <f t="shared" si="1"/>
        <v/>
      </c>
      <c r="S19" s="1"/>
    </row>
    <row r="20" spans="1:19" x14ac:dyDescent="0.45">
      <c r="A20" s="50"/>
      <c r="B20" s="51"/>
      <c r="C20" s="95"/>
      <c r="D20" s="89"/>
      <c r="E20" s="97"/>
      <c r="F20" s="99"/>
      <c r="H20" s="50"/>
      <c r="I20" s="51"/>
      <c r="J20" s="59"/>
      <c r="K20" s="81"/>
      <c r="L20" s="60"/>
      <c r="M20" s="104"/>
      <c r="N20"/>
      <c r="O20" s="13">
        <f t="shared" si="0"/>
        <v>0</v>
      </c>
      <c r="P20" s="13">
        <f t="shared" si="0"/>
        <v>0</v>
      </c>
      <c r="Q20" s="13">
        <f t="shared" si="0"/>
        <v>0</v>
      </c>
      <c r="R20" s="13" t="str">
        <f t="shared" si="1"/>
        <v/>
      </c>
      <c r="S20" s="1"/>
    </row>
    <row r="21" spans="1:19" x14ac:dyDescent="0.45">
      <c r="A21" s="52"/>
      <c r="B21" s="49"/>
      <c r="C21" s="56"/>
      <c r="D21" s="92"/>
      <c r="E21" s="98"/>
      <c r="F21" s="102"/>
      <c r="H21" s="52"/>
      <c r="I21" s="49"/>
      <c r="J21" s="61"/>
      <c r="K21" s="82"/>
      <c r="L21" s="62"/>
      <c r="M21" s="106"/>
      <c r="N21"/>
      <c r="O21" s="13">
        <f t="shared" si="0"/>
        <v>0</v>
      </c>
      <c r="P21" s="13">
        <f t="shared" si="0"/>
        <v>0</v>
      </c>
      <c r="Q21" s="13">
        <f t="shared" si="0"/>
        <v>0</v>
      </c>
      <c r="R21" s="13" t="str">
        <f t="shared" si="1"/>
        <v/>
      </c>
      <c r="S21" s="1"/>
    </row>
    <row r="22" spans="1:19" x14ac:dyDescent="0.45">
      <c r="A22" s="50"/>
      <c r="B22" s="51"/>
      <c r="C22" s="95"/>
      <c r="D22" s="89"/>
      <c r="E22" s="97"/>
      <c r="F22" s="99"/>
      <c r="H22" s="50"/>
      <c r="I22" s="51"/>
      <c r="J22" s="59"/>
      <c r="K22" s="81"/>
      <c r="L22" s="60"/>
      <c r="M22" s="104"/>
      <c r="N22"/>
      <c r="O22" s="13">
        <f t="shared" si="0"/>
        <v>0</v>
      </c>
      <c r="P22" s="13">
        <f t="shared" si="0"/>
        <v>0</v>
      </c>
      <c r="Q22" s="13">
        <f t="shared" si="0"/>
        <v>0</v>
      </c>
      <c r="R22" s="13" t="str">
        <f t="shared" si="1"/>
        <v/>
      </c>
      <c r="S22" s="1"/>
    </row>
    <row r="23" spans="1:19" x14ac:dyDescent="0.45">
      <c r="A23" s="52"/>
      <c r="B23" s="49"/>
      <c r="C23" s="56"/>
      <c r="D23" s="92"/>
      <c r="E23" s="98"/>
      <c r="F23" s="102"/>
      <c r="H23" s="52"/>
      <c r="I23" s="49"/>
      <c r="J23" s="61"/>
      <c r="K23" s="82"/>
      <c r="L23" s="62"/>
      <c r="M23" s="106"/>
      <c r="N23"/>
      <c r="O23" s="13">
        <f t="shared" si="0"/>
        <v>0</v>
      </c>
      <c r="P23" s="13">
        <f t="shared" si="0"/>
        <v>0</v>
      </c>
      <c r="Q23" s="13">
        <f t="shared" si="0"/>
        <v>0</v>
      </c>
      <c r="R23" s="13" t="str">
        <f t="shared" si="1"/>
        <v/>
      </c>
      <c r="S23" s="1"/>
    </row>
    <row r="24" spans="1:19" x14ac:dyDescent="0.45">
      <c r="A24" s="50"/>
      <c r="B24" s="51"/>
      <c r="C24" s="95"/>
      <c r="D24" s="89"/>
      <c r="E24" s="97"/>
      <c r="F24" s="99"/>
      <c r="H24" s="50"/>
      <c r="I24" s="51"/>
      <c r="J24" s="59"/>
      <c r="K24" s="81"/>
      <c r="L24" s="60"/>
      <c r="M24" s="104"/>
      <c r="N24"/>
      <c r="O24" s="13">
        <f t="shared" si="0"/>
        <v>0</v>
      </c>
      <c r="P24" s="13">
        <f t="shared" si="0"/>
        <v>0</v>
      </c>
      <c r="Q24" s="13">
        <f t="shared" si="0"/>
        <v>0</v>
      </c>
      <c r="R24" s="13" t="str">
        <f t="shared" si="1"/>
        <v/>
      </c>
      <c r="S24" s="1"/>
    </row>
    <row r="25" spans="1:19" x14ac:dyDescent="0.45">
      <c r="A25" s="52"/>
      <c r="B25" s="49"/>
      <c r="C25" s="56"/>
      <c r="D25" s="92"/>
      <c r="E25" s="98"/>
      <c r="F25" s="102"/>
      <c r="H25" s="52"/>
      <c r="I25" s="49"/>
      <c r="J25" s="61"/>
      <c r="K25" s="82"/>
      <c r="L25" s="62"/>
      <c r="M25" s="106"/>
      <c r="N25"/>
      <c r="O25" s="13">
        <f t="shared" si="0"/>
        <v>0</v>
      </c>
      <c r="P25" s="13">
        <f t="shared" si="0"/>
        <v>0</v>
      </c>
      <c r="Q25" s="13">
        <f t="shared" si="0"/>
        <v>0</v>
      </c>
      <c r="R25" s="13" t="str">
        <f t="shared" si="1"/>
        <v/>
      </c>
      <c r="S25" s="1"/>
    </row>
    <row r="26" spans="1:19" x14ac:dyDescent="0.45">
      <c r="A26" s="50"/>
      <c r="B26" s="51"/>
      <c r="C26" s="95"/>
      <c r="D26" s="89"/>
      <c r="E26" s="97"/>
      <c r="F26" s="99"/>
      <c r="H26" s="50"/>
      <c r="I26" s="51"/>
      <c r="J26" s="59"/>
      <c r="K26" s="81"/>
      <c r="L26" s="60"/>
      <c r="M26" s="104"/>
      <c r="N26"/>
      <c r="O26" s="13">
        <f t="shared" si="0"/>
        <v>0</v>
      </c>
      <c r="P26" s="13">
        <f t="shared" si="0"/>
        <v>0</v>
      </c>
      <c r="Q26" s="13">
        <f t="shared" si="0"/>
        <v>0</v>
      </c>
      <c r="R26" s="13" t="str">
        <f t="shared" si="1"/>
        <v/>
      </c>
      <c r="S26" s="1"/>
    </row>
    <row r="27" spans="1:19" x14ac:dyDescent="0.45">
      <c r="A27" s="52"/>
      <c r="B27" s="49"/>
      <c r="C27" s="56"/>
      <c r="D27" s="92"/>
      <c r="E27" s="98"/>
      <c r="F27" s="102"/>
      <c r="H27" s="52"/>
      <c r="I27" s="49"/>
      <c r="J27" s="61"/>
      <c r="K27" s="82"/>
      <c r="L27" s="62"/>
      <c r="M27" s="106"/>
      <c r="N27"/>
      <c r="O27" s="13">
        <f t="shared" si="0"/>
        <v>0</v>
      </c>
      <c r="P27" s="13">
        <f t="shared" si="0"/>
        <v>0</v>
      </c>
      <c r="Q27" s="13">
        <f t="shared" si="0"/>
        <v>0</v>
      </c>
      <c r="R27" s="13" t="str">
        <f t="shared" si="1"/>
        <v/>
      </c>
      <c r="S27" s="1"/>
    </row>
    <row r="28" spans="1:19" x14ac:dyDescent="0.45">
      <c r="A28" s="50"/>
      <c r="B28" s="51"/>
      <c r="C28" s="95"/>
      <c r="D28" s="89"/>
      <c r="E28" s="97"/>
      <c r="F28" s="99"/>
      <c r="H28" s="50"/>
      <c r="I28" s="51"/>
      <c r="J28" s="59"/>
      <c r="K28" s="81"/>
      <c r="L28" s="60"/>
      <c r="M28" s="104"/>
      <c r="N28"/>
      <c r="O28" s="13">
        <f t="shared" si="0"/>
        <v>0</v>
      </c>
      <c r="P28" s="13">
        <f t="shared" si="0"/>
        <v>0</v>
      </c>
      <c r="Q28" s="13">
        <f t="shared" si="0"/>
        <v>0</v>
      </c>
      <c r="R28" s="13" t="str">
        <f t="shared" si="1"/>
        <v/>
      </c>
      <c r="S28" s="1"/>
    </row>
    <row r="29" spans="1:19" x14ac:dyDescent="0.45">
      <c r="A29" s="52"/>
      <c r="B29" s="49"/>
      <c r="C29" s="56"/>
      <c r="D29" s="92"/>
      <c r="E29" s="98"/>
      <c r="F29" s="102"/>
      <c r="H29" s="52"/>
      <c r="I29" s="49"/>
      <c r="J29" s="61"/>
      <c r="K29" s="82"/>
      <c r="L29" s="62"/>
      <c r="M29" s="106"/>
      <c r="N29"/>
      <c r="O29" s="13">
        <f t="shared" si="0"/>
        <v>0</v>
      </c>
      <c r="P29" s="13">
        <f t="shared" si="0"/>
        <v>0</v>
      </c>
      <c r="Q29" s="13">
        <f t="shared" si="0"/>
        <v>0</v>
      </c>
      <c r="R29" s="13" t="str">
        <f t="shared" si="1"/>
        <v/>
      </c>
      <c r="S29" s="1"/>
    </row>
    <row r="30" spans="1:19" x14ac:dyDescent="0.45">
      <c r="A30" s="50"/>
      <c r="B30" s="51"/>
      <c r="C30" s="95"/>
      <c r="D30" s="89"/>
      <c r="E30" s="97"/>
      <c r="F30" s="99"/>
      <c r="H30" s="50"/>
      <c r="I30" s="51"/>
      <c r="J30" s="59"/>
      <c r="K30" s="81"/>
      <c r="L30" s="60"/>
      <c r="M30" s="104"/>
      <c r="N30"/>
      <c r="O30" s="13">
        <f t="shared" si="0"/>
        <v>0</v>
      </c>
      <c r="P30" s="13">
        <f t="shared" si="0"/>
        <v>0</v>
      </c>
      <c r="Q30" s="13">
        <f t="shared" si="0"/>
        <v>0</v>
      </c>
      <c r="R30" s="13" t="str">
        <f t="shared" si="1"/>
        <v/>
      </c>
      <c r="S30" s="1"/>
    </row>
    <row r="31" spans="1:19" x14ac:dyDescent="0.45">
      <c r="A31" s="52"/>
      <c r="B31" s="52"/>
      <c r="C31" s="53"/>
      <c r="D31" s="72"/>
      <c r="E31" s="54"/>
      <c r="F31" s="103"/>
      <c r="H31" s="52"/>
      <c r="I31" s="63"/>
      <c r="J31" s="52"/>
      <c r="K31" s="83"/>
      <c r="L31" s="64"/>
      <c r="M31" s="107"/>
    </row>
    <row r="32" spans="1:19" ht="18" thickBot="1" x14ac:dyDescent="0.5">
      <c r="A32" s="55"/>
      <c r="B32" s="55"/>
      <c r="C32" s="43"/>
      <c r="D32" s="73"/>
      <c r="E32" s="39"/>
      <c r="F32" s="100"/>
      <c r="H32" s="55"/>
      <c r="I32" s="65"/>
      <c r="J32" s="55"/>
      <c r="K32" s="84"/>
      <c r="L32" s="38"/>
      <c r="M32" s="38"/>
    </row>
  </sheetData>
  <mergeCells count="2">
    <mergeCell ref="A1:D1"/>
    <mergeCell ref="H1:K1"/>
  </mergeCells>
  <phoneticPr fontId="2"/>
  <conditionalFormatting sqref="E31:E32">
    <cfRule type="expression" dxfId="7" priority="3">
      <formula>$E31&lt;0</formula>
    </cfRule>
  </conditionalFormatting>
  <conditionalFormatting sqref="L31:L32">
    <cfRule type="expression" dxfId="6" priority="4">
      <formula>$L31&lt;0</formula>
    </cfRule>
  </conditionalFormatting>
  <conditionalFormatting sqref="E3:E30">
    <cfRule type="expression" dxfId="1" priority="1">
      <formula>$E3&lt;0</formula>
    </cfRule>
  </conditionalFormatting>
  <conditionalFormatting sqref="L3:L30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2026-01-26T05:39:30Z</dcterms:modified>
  <dc:language>ja-JP</dc:language>
</cp:coreProperties>
</file>