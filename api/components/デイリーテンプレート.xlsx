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29E5D9DF-C6BF-45EC-B9F7-F46160FABC81}" xr6:coauthVersionLast="47" xr6:coauthVersionMax="47" xr10:uidLastSave="{00000000-0000-0000-0000-000000000000}"/>
  <bookViews>
    <workbookView xWindow="-38520" yWindow="-3705" windowWidth="38640" windowHeight="21120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<sst xmlns="http://schemas.openxmlformats.org/spreadsheetml/2006/main" count="94" uniqueCount="40">
  <si>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</si>
  <si>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</si>
  <si>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</si>
  <si>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</si>
  <si>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</si>
  <si>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</si>
  <si>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</si>
  <si>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</si>
  <si>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</si>
  <si>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</si>
  <si>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</si>
  <si>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</si>
  <si>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</si>
  <si>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</si>
  <si>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</si>
  <si>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</si>
  <si>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</si>
  <si>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</si>
  <si>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</si>
  <si>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</si>
  <si>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</si>
  <si>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</si>
  <si>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</si>
  <si>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</si>
  <si>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</si>
  <si>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</si>
  <si>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</si>
  <si>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</si>
  <si>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</si>
  <si>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</si>
  <si>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</si>
  <si>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</si>
  <si>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</si>
  <si>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</si>
  <si>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</si>
  <si>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rPh sb="0" eb="2">
      <t>ミコ</t>
    </rPh>
    <phoneticPr fontId="2"/>
  </si>
  <si>
    <r>
      <t>見込み稼働率（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color rgb="FF000000"/>
        <rFont val="Noto Sans JP"/>
        <family val="3"/>
        <charset val="128"/>
      </rPr>
      <t>)</t>
    </r>
    <rPh sb="0" eb="2">
      <t>ミコ</t>
    </rPh>
    <rPh sb="3" eb="6">
      <t>カドウリツ</t>
    </rPh>
    <phoneticPr fontId="2"/>
  </si>
  <si>
    <r>
      <t>確定泊数（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phoneticPr fontId="2"/>
  </si>
  <si>
    <r>
      <t xml:space="preserve">※ </t>
    </r>
    <r>
      <rPr>
        <b/>
        <sz val="10"/>
        <color rgb="FFFF0000"/>
        <rFont val="Noto Sans JP"/>
        <family val="3"/>
        <charset val="128"/>
      </rPr>
      <t>仮</t>
    </r>
    <r>
      <rPr>
        <sz val="10"/>
        <color rgb="FF000000"/>
        <rFont val="Noto Sans JP"/>
        <family val="3"/>
        <charset val="128"/>
      </rPr>
      <t>：仮予約含む</t>
    </r>
    <rPh sb="2" eb="3">
      <t>カリ</t>
    </rPh>
    <rPh sb="4" eb="7">
      <t>カリヨヤク</t>
    </rPh>
    <rPh sb="7" eb="8">
      <t>フク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</si>
  <si>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)（百万）</t>
    </r>
    <rPh sb="0" eb="2">
      <t>ミコ</t>
    </rPh>
    <rPh sb="3" eb="5">
      <t>ウリアゲ</t>
    </rPh>
    <rPh sb="6" eb="7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</si>
</sst>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.0%;\-0.0%;&quot;-&quot;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b/>
      <sz val="10"/>
      <color rgb="FFFF0000"/>
      <name val="Noto Sans JP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0" tint="-0.14999847407452621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theme="1"/>
      </top>
      <bottom style="thin">
        <color indexed="64"/>
      </bottom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96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center"/>
    </xf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19" fillId="0" borderId="8" xfId="0" applyFont="1" applyBorder="1"/>
    <xf numFmtId="177" fontId="4" fillId="0" borderId="8" xfId="0" applyNumberFormat="1" applyFont="1" applyBorder="1"/>
    <xf numFmtId="0" fontId="19" fillId="0" borderId="6" xfId="0" applyFont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0" fontId="18" fillId="6" borderId="6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176" fontId="19" fillId="0" borderId="12" xfId="0" applyNumberFormat="1" applyFont="1" applyBorder="1"/>
    <xf numFmtId="3" fontId="4" fillId="0" borderId="10" xfId="3" applyNumberFormat="1" applyFont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5" xfId="0" applyNumberFormat="1" applyFont="1" applyBorder="1"/>
    <xf numFmtId="0" fontId="3" fillId="0" borderId="5" xfId="0" applyFont="1" applyBorder="1"/>
    <xf numFmtId="176" fontId="4" fillId="0" borderId="5" xfId="3" applyNumberFormat="1" applyFont="1" applyBorder="1"/>
    <xf numFmtId="41" fontId="1" fillId="3" borderId="13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3" fillId="3" borderId="5" xfId="0" applyFont="1" applyFill="1" applyBorder="1"/>
    <xf numFmtId="41" fontId="4" fillId="3" borderId="5" xfId="3" applyFont="1" applyFill="1" applyBorder="1"/>
    <xf numFmtId="176" fontId="3" fillId="3" borderId="5" xfId="0" applyNumberFormat="1" applyFont="1" applyFill="1" applyBorder="1"/>
    <xf numFmtId="3" fontId="4" fillId="11" borderId="10" xfId="0" applyNumberFormat="1" applyFont="1" applyFill="1" applyBorder="1"/>
    <xf numFmtId="3" fontId="4" fillId="3" borderId="5" xfId="0" applyNumberFormat="1" applyFont="1" applyFill="1" applyBorder="1"/>
    <xf numFmtId="0" fontId="20" fillId="5" borderId="14" xfId="0" applyFont="1" applyFill="1" applyBorder="1" applyAlignment="1">
      <alignment horizontal="center" vertical="center"/>
    </xf>
    <xf numFmtId="0" fontId="20" fillId="8" borderId="12" xfId="0" applyFont="1" applyFill="1" applyBorder="1" applyAlignment="1">
      <alignment horizontal="center" vertical="center"/>
    </xf>
    <xf numFmtId="3" fontId="4" fillId="11" borderId="8" xfId="0" applyNumberFormat="1" applyFont="1" applyFill="1" applyBorder="1"/>
    <xf numFmtId="177" fontId="4" fillId="11" borderId="8" xfId="0" applyNumberFormat="1" applyFont="1" applyFill="1" applyBorder="1"/>
    <xf numFmtId="176" fontId="4" fillId="11" borderId="8" xfId="0" applyNumberFormat="1" applyFont="1" applyFill="1" applyBorder="1"/>
    <xf numFmtId="176" fontId="4" fillId="11" borderId="12" xfId="0" applyNumberFormat="1" applyFont="1" applyFill="1" applyBorder="1"/>
    <xf numFmtId="176" fontId="4" fillId="3" borderId="5" xfId="0" applyNumberFormat="1" applyFont="1" applyFill="1" applyBorder="1"/>
    <xf numFmtId="0" fontId="17" fillId="11" borderId="8" xfId="0" applyFont="1" applyFill="1" applyBorder="1"/>
    <xf numFmtId="3" fontId="4" fillId="11" borderId="7" xfId="0" applyNumberFormat="1" applyFont="1" applyFill="1" applyBorder="1"/>
    <xf numFmtId="176" fontId="4" fillId="11" borderId="7" xfId="0" applyNumberFormat="1" applyFont="1" applyFill="1" applyBorder="1"/>
    <xf numFmtId="177" fontId="4" fillId="0" borderId="6" xfId="0" applyNumberFormat="1" applyFont="1" applyBorder="1"/>
    <xf numFmtId="49" fontId="18" fillId="6" borderId="6" xfId="0" applyNumberFormat="1" applyFont="1" applyFill="1" applyBorder="1" applyAlignment="1">
      <alignment horizontal="center" vertical="center" shrinkToFit="1"/>
    </xf>
    <xf numFmtId="49" fontId="6" fillId="9" borderId="5" xfId="0" applyNumberFormat="1" applyFont="1" applyFill="1" applyBorder="1" applyAlignment="1">
      <alignment horizontal="center" vertical="center" shrinkToFit="1"/>
    </xf>
    <xf numFmtId="49" fontId="18" fillId="6" borderId="8" xfId="0" applyNumberFormat="1" applyFont="1" applyFill="1" applyBorder="1" applyAlignment="1">
      <alignment horizontal="center" vertical="center"/>
    </xf>
    <xf numFmtId="49" fontId="6" fillId="0" borderId="1" xfId="1" applyNumberFormat="1" applyFont="1" applyBorder="1"/>
    <xf numFmtId="41" fontId="4" fillId="0" borderId="10" xfId="3" applyFont="1" applyBorder="1"/>
    <xf numFmtId="41" fontId="4" fillId="0" borderId="6" xfId="0" applyNumberFormat="1" applyFont="1" applyBorder="1"/>
    <xf numFmtId="41" fontId="4" fillId="0" borderId="5" xfId="0" applyNumberFormat="1" applyFont="1" applyBorder="1"/>
    <xf numFmtId="178" fontId="4" fillId="3" borderId="5" xfId="0" applyNumberFormat="1" applyFont="1" applyFill="1" applyBorder="1"/>
    <xf numFmtId="178" fontId="4" fillId="0" borderId="5" xfId="3" applyNumberFormat="1" applyFont="1" applyBorder="1"/>
    <xf numFmtId="178" fontId="4" fillId="0" borderId="6" xfId="3" applyNumberFormat="1" applyFont="1" applyBorder="1"/>
    <xf numFmtId="178" fontId="19" fillId="0" borderId="15" xfId="0" applyNumberFormat="1" applyFont="1" applyBorder="1"/>
    <xf numFmtId="49" fontId="5" fillId="10" borderId="5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  <xf numFmtId="49" fontId="5" fillId="10" borderId="9" xfId="0" applyNumberFormat="1" applyFont="1" applyFill="1" applyBorder="1" applyAlignment="1">
      <alignment horizontal="center" vertical="center" shrinkToFit="1"/>
    </xf>
    <xf numFmtId="49" fontId="20" fillId="8" borderId="5" xfId="0" applyNumberFormat="1" applyFont="1" applyFill="1" applyBorder="1" applyAlignment="1">
      <alignment horizontal="center" vertical="center"/>
    </xf>
    <xf numFmtId="49" fontId="6" fillId="9" borderId="9" xfId="0" applyNumberFormat="1" applyFont="1" applyFill="1" applyBorder="1" applyAlignment="1">
      <alignment horizontal="center" vertical="center" shrinkToFit="1"/>
    </xf>
    <xf numFmtId="49" fontId="20" fillId="5" borderId="5" xfId="0" applyNumberFormat="1" applyFont="1" applyFill="1" applyBorder="1" applyAlignment="1">
      <alignment horizontal="center" vertical="center" shrinkToFit="1"/>
    </xf>
    <xf numFmtId="49" fontId="5" fillId="0" borderId="5" xfId="0" applyNumberFormat="1" applyFont="1" applyBorder="1" applyAlignment="1">
      <alignment horizontal="center" vertical="center" shrinkToFit="1"/>
    </xf>
    <xf numFmtId="49" fontId="6" fillId="0" borderId="5" xfId="1" applyNumberFormat="1" applyFont="1" applyBorder="1" applyAlignment="1">
      <alignment horizontal="center" vertical="center" shrinkToFit="1"/>
    </xf>
    <xf numFmtId="49" fontId="6" fillId="0" borderId="13" xfId="1" applyNumberFormat="1" applyFont="1" applyBorder="1" applyAlignment="1">
      <alignment vertical="center"/>
    </xf>
    <xf numFmtId="49" fontId="6" fillId="0" borderId="1" xfId="1" applyNumberFormat="1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5" fillId="0" borderId="3" xfId="0" applyNumberFormat="1" applyFont="1" applyBorder="1" applyAlignment="1">
      <alignment vertical="center"/>
    </xf>
    <xf numFmtId="49" fontId="5" fillId="0" borderId="3" xfId="0" applyNumberFormat="1" applyFont="1" applyBorder="1" applyAlignment="1">
      <alignment horizontal="right" vertical="center"/>
    </xf>
    <xf numFmtId="49" fontId="13" fillId="0" borderId="0" xfId="0" applyNumberFormat="1" applyFont="1" applyAlignment="1">
      <alignment horizontal="center" vertic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  <a:endParaRPr lang="ja-JP" altLang="en-US" b="0"/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計画売上（百万円)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見込み売上（百万円)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売上　達成率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081408110890631E-2"/>
          <c:y val="0.87043936709982861"/>
          <c:w val="0.85183704777616243"/>
          <c:h val="6.0867736124320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稼働率　前日対比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稼働率　達成率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dLbl>
              <c:idx val="0"/>
              <c:layout>
                <c:manualLayout>
                  <c:x val="-3.3731699928178295E-2"/>
                  <c:y val="-5.7342126640728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F6-4812-A3AF-6D8096DF1CCD}"/>
                </c:ext>
              </c:extLst>
            </c:dLbl>
            <c:dLbl>
              <c:idx val="1"/>
              <c:layout>
                <c:manualLayout>
                  <c:x val="-3.3731699928178281E-2"/>
                  <c:y val="-6.186704576225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F6-4812-A3AF-6D8096DF1CCD}"/>
                </c:ext>
              </c:extLst>
            </c:dLbl>
            <c:dLbl>
              <c:idx val="2"/>
              <c:layout>
                <c:manualLayout>
                  <c:x val="-2.9404560508947079E-2"/>
                  <c:y val="-6.63919648837773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F6-4812-A3AF-6D8096DF1CCD}"/>
                </c:ext>
              </c:extLst>
            </c:dLbl>
            <c:dLbl>
              <c:idx val="3"/>
              <c:layout>
                <c:manualLayout>
                  <c:x val="-2.9404560508947145E-2"/>
                  <c:y val="-7.54418031268259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F6-4812-A3AF-6D8096DF1CCD}"/>
                </c:ext>
              </c:extLst>
            </c:dLbl>
            <c:dLbl>
              <c:idx val="4"/>
              <c:layout>
                <c:manualLayout>
                  <c:x val="-2.9404560508947207E-2"/>
                  <c:y val="-9.3541479612923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F6-4812-A3AF-6D8096DF1CCD}"/>
                </c:ext>
              </c:extLst>
            </c:dLbl>
            <c:dLbl>
              <c:idx val="5"/>
              <c:layout>
                <c:manualLayout>
                  <c:x val="-2.9404560508947079E-2"/>
                  <c:y val="-0.1161660752205452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7F6-4812-A3AF-6D8096DF1C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3509053939455E-2"/>
          <c:w val="0.86840985548094085"/>
          <c:h val="0.92861302864293738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575815599415373"/>
          <c:y val="0.95157954043467385"/>
          <c:w val="0.52848355211526188"/>
          <c:h val="2.0350278486537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1779964823249213"/>
          <c:w val="0.95565079365079364"/>
          <c:h val="0.62999366535373158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07585871203E-2"/>
          <c:y val="0.81668383037303638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8631208753801E-2"/>
          <c:w val="0.86840985548094085"/>
          <c:h val="0.92707192559684592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4884168064122265"/>
          <c:w val="0.64915401074533075"/>
          <c:h val="2.0424547531421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485312899106E-2"/>
          <c:w val="0.86840985548094085"/>
          <c:h val="0.9298218038837099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5664172725535745"/>
          <c:w val="0.64915401074533075"/>
          <c:h val="2.0369766997516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16311294146992E-2"/>
          <c:w val="0.86840985548094085"/>
          <c:h val="0.9287085459065297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037011790657511"/>
          <c:w val="0.52228055953996344"/>
          <c:h val="2.03230493874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3743561087521988E-2"/>
          <c:w val="0.86840985548094085"/>
          <c:h val="0.93134525556924119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383471916700446"/>
          <c:w val="0.52228055953996344"/>
          <c:h val="1.9927573302271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54700432130751"/>
          <c:y val="1.4113422005764781E-2"/>
          <c:w val="0.86847808887237843"/>
          <c:h val="0.93462980150588315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826512033174167"/>
          <c:y val="0.9538753769682895"/>
          <c:w val="0.68346962351041207"/>
          <c:h val="2.046385574850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0.09612</cdr:x>
      <cdr:y>0.92526</cdr:y>
    </cdr:from>
    <cdr:to>
      <cdr:x>0.36427</cdr:x>
      <cdr:y>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1301593B-13E8-89FC-9315-C0D5C301F69F}"/>
            </a:ext>
          </a:extLst>
        </cdr:cNvPr>
        <cdr:cNvSpPr txBox="1"/>
      </cdr:nvSpPr>
      <cdr:spPr>
        <a:xfrm xmlns:a="http://schemas.openxmlformats.org/drawingml/2006/main">
          <a:off x="706754" y="3079116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0.24637</cdr:x>
      <cdr:y>0.96874</cdr:y>
    </cdr:from>
    <cdr:to>
      <cdr:x>0.51431</cdr:x>
      <cdr:y>0.99373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6A5C43D3-1EB8-66A3-D83D-9CD07D7CA24D}"/>
            </a:ext>
          </a:extLst>
        </cdr:cNvPr>
        <cdr:cNvSpPr txBox="1"/>
      </cdr:nvSpPr>
      <cdr:spPr>
        <a:xfrm xmlns:a="http://schemas.openxmlformats.org/drawingml/2006/main">
          <a:off x="1812925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0.14957</cdr:x>
      <cdr:y>0.89439</cdr:y>
    </cdr:from>
    <cdr:to>
      <cdr:x>0.41803</cdr:x>
      <cdr:y>0.98241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3B10103-0A74-BCAE-5B97-727360709A8C}"/>
            </a:ext>
          </a:extLst>
        </cdr:cNvPr>
        <cdr:cNvSpPr txBox="1"/>
      </cdr:nvSpPr>
      <cdr:spPr>
        <a:xfrm xmlns:a="http://schemas.openxmlformats.org/drawingml/2006/main">
          <a:off x="1098550" y="25273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0.18942</cdr:x>
      <cdr:y>0.96843</cdr:y>
    </cdr:from>
    <cdr:to>
      <cdr:x>0.45736</cdr:x>
      <cdr:y>0.99351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24BF31CA-6E0F-3DC6-75CF-0D7C5CC942D4}"/>
            </a:ext>
          </a:extLst>
        </cdr:cNvPr>
        <cdr:cNvSpPr txBox="1"/>
      </cdr:nvSpPr>
      <cdr:spPr>
        <a:xfrm xmlns:a="http://schemas.openxmlformats.org/drawingml/2006/main">
          <a:off x="1393825" y="96043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0.19071</cdr:x>
      <cdr:y>0.97446</cdr:y>
    </cdr:from>
    <cdr:to>
      <cdr:x>0.45865</cdr:x>
      <cdr:y>0.99947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B60EEEED-807B-A53E-A5B7-B4C6B55E7DDF}"/>
            </a:ext>
          </a:extLst>
        </cdr:cNvPr>
        <cdr:cNvSpPr txBox="1"/>
      </cdr:nvSpPr>
      <cdr:spPr>
        <a:xfrm xmlns:a="http://schemas.openxmlformats.org/drawingml/2006/main">
          <a:off x="1403350" y="96901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0.25025</cdr:x>
      <cdr:y>0.96744</cdr:y>
    </cdr:from>
    <cdr:to>
      <cdr:x>0.5182</cdr:x>
      <cdr:y>0.9924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037AAE61-E98E-8960-53E0-56910ED148A9}"/>
            </a:ext>
          </a:extLst>
        </cdr:cNvPr>
        <cdr:cNvSpPr txBox="1"/>
      </cdr:nvSpPr>
      <cdr:spPr>
        <a:xfrm xmlns:a="http://schemas.openxmlformats.org/drawingml/2006/main">
          <a:off x="1841500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0.24896</cdr:x>
      <cdr:y>0.97017</cdr:y>
    </cdr:from>
    <cdr:to>
      <cdr:x>0.5169</cdr:x>
      <cdr:y>0.99464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72539DBE-6321-20A6-40E5-0DED2E2AEE6F}"/>
            </a:ext>
          </a:extLst>
        </cdr:cNvPr>
        <cdr:cNvSpPr txBox="1"/>
      </cdr:nvSpPr>
      <cdr:spPr>
        <a:xfrm xmlns:a="http://schemas.openxmlformats.org/drawingml/2006/main">
          <a:off x="1831975" y="986155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0.1725</cdr:x>
      <cdr:y>0.97126</cdr:y>
    </cdr:from>
    <cdr:to>
      <cdr:x>0.4403</cdr:x>
      <cdr:y>0.99639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D8ABF9F-11AF-3C39-0611-D50E38B842CD}"/>
            </a:ext>
          </a:extLst>
        </cdr:cNvPr>
        <cdr:cNvSpPr txBox="1"/>
      </cdr:nvSpPr>
      <cdr:spPr>
        <a:xfrm xmlns:a="http://schemas.openxmlformats.org/drawingml/2006/main">
          <a:off x="1270000" y="96139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78" t="str">
        <f ca="1">_xlfn.CONCAT("デイリーレポート - ",TEXT(TODAY(),"yy年mm月dd日"))</f>
        <v>デイリーレポート - 26年01月27日</v>
      </c>
      <c r="B1" s="78"/>
      <c r="C1" s="78"/>
      <c r="D1" s="78"/>
      <c r="E1" s="78"/>
      <c r="F1" s="78"/>
      <c r="G1" s="78"/>
      <c r="H1" s="78"/>
      <c r="I1" s="78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0" t="s">
        <v>23</v>
      </c>
      <c r="C48" s="21">
        <f>合計データ!W3</f>
        <v>0</v>
      </c>
      <c r="D48" s="21">
        <f>合計データ!X3</f>
        <v>0</v>
      </c>
      <c r="E48" s="21">
        <f>合計データ!Y3</f>
        <v>0</v>
      </c>
      <c r="F48" s="21">
        <f>合計データ!Z3</f>
        <v>0</v>
      </c>
      <c r="G48" s="21">
        <f>合計データ!AA3</f>
        <v>0</v>
      </c>
      <c r="H48" s="21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0" t="s">
        <v>23</v>
      </c>
      <c r="C50" s="21">
        <f>合計データ!W5</f>
        <v>0</v>
      </c>
      <c r="D50" s="21">
        <f>合計データ!X5</f>
        <v>0</v>
      </c>
      <c r="E50" s="21">
        <f>合計データ!Y5</f>
        <v>0</v>
      </c>
      <c r="F50" s="21">
        <f>合計データ!Z5</f>
        <v>0</v>
      </c>
      <c r="G50" s="21">
        <f>合計データ!AA5</f>
        <v>0</v>
      </c>
      <c r="H50" s="21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75"/>
      <c r="B52" s="75"/>
      <c r="C52" s="75"/>
      <c r="D52" s="75"/>
      <c r="E52" s="75"/>
      <c r="F52" s="75"/>
      <c r="G52" s="75"/>
      <c r="H52" s="75"/>
      <c r="I52" s="75"/>
    </row>
    <row r="53" spans="1:9" x14ac:dyDescent="0.45">
      <c r="A53" s="75"/>
      <c r="B53" s="75"/>
      <c r="C53" s="75"/>
      <c r="D53" s="75"/>
      <c r="E53" s="75"/>
      <c r="F53" s="75"/>
      <c r="G53" s="75"/>
      <c r="H53" s="75"/>
      <c r="I53" s="75"/>
    </row>
    <row r="54" spans="1:9" x14ac:dyDescent="0.45">
      <c r="A54" s="75"/>
      <c r="B54" s="75"/>
      <c r="C54" s="75"/>
      <c r="D54" s="75"/>
      <c r="E54" s="75"/>
      <c r="F54" s="75"/>
      <c r="G54" s="75"/>
      <c r="H54" s="75"/>
      <c r="I54" s="75"/>
    </row>
    <row r="56" spans="1:9" ht="26.4" x14ac:dyDescent="0.65">
      <c r="C56" s="79" t="str">
        <f>合計データ!A9</f>
        <v>売上　計画ｘ見込み（1900年1月）</v>
      </c>
      <c r="D56" s="79"/>
      <c r="E56" s="79"/>
      <c r="F56" s="79"/>
      <c r="G56" s="79"/>
    </row>
    <row r="104" spans="1:9" x14ac:dyDescent="0.45">
      <c r="A104" s="75">
        <f>$A$52</f>
        <v>0</v>
      </c>
      <c r="B104" s="75"/>
      <c r="C104" s="75"/>
      <c r="D104" s="75"/>
      <c r="E104" s="75"/>
      <c r="F104" s="75"/>
      <c r="G104" s="75"/>
      <c r="H104" s="75"/>
      <c r="I104" s="75"/>
    </row>
    <row r="105" spans="1:9" x14ac:dyDescent="0.45">
      <c r="A105" s="75"/>
      <c r="B105" s="75"/>
      <c r="C105" s="75"/>
      <c r="D105" s="75"/>
      <c r="E105" s="75"/>
      <c r="F105" s="75"/>
      <c r="G105" s="75"/>
      <c r="H105" s="75"/>
      <c r="I105" s="75"/>
    </row>
    <row r="106" spans="1:9" x14ac:dyDescent="0.45">
      <c r="A106" s="75"/>
      <c r="B106" s="75"/>
      <c r="C106" s="75"/>
      <c r="D106" s="75"/>
      <c r="E106" s="75"/>
      <c r="F106" s="75"/>
      <c r="G106" s="75"/>
      <c r="H106" s="75"/>
      <c r="I106" s="75"/>
    </row>
    <row r="108" spans="1:9" ht="26.4" x14ac:dyDescent="0.65">
      <c r="C108" s="79" t="str">
        <f>合計データ!H9</f>
        <v>稼働率　計画ｘ見込み（1900年1月）</v>
      </c>
      <c r="D108" s="77"/>
      <c r="E108" s="77"/>
      <c r="F108" s="77"/>
      <c r="G108" s="77"/>
    </row>
    <row r="156" spans="1:9" x14ac:dyDescent="0.45">
      <c r="A156" s="75">
        <f>$A$52</f>
        <v>0</v>
      </c>
      <c r="B156" s="75"/>
      <c r="C156" s="75"/>
      <c r="D156" s="75"/>
      <c r="E156" s="75"/>
      <c r="F156" s="75"/>
      <c r="G156" s="75"/>
      <c r="H156" s="75"/>
      <c r="I156" s="75"/>
    </row>
    <row r="157" spans="1:9" x14ac:dyDescent="0.45">
      <c r="A157" s="75"/>
      <c r="B157" s="75"/>
      <c r="C157" s="75"/>
      <c r="D157" s="75"/>
      <c r="E157" s="75"/>
      <c r="F157" s="75"/>
      <c r="G157" s="75"/>
      <c r="H157" s="75"/>
      <c r="I157" s="75"/>
    </row>
    <row r="158" spans="1:9" x14ac:dyDescent="0.45">
      <c r="A158" s="75"/>
      <c r="B158" s="75"/>
      <c r="C158" s="75"/>
      <c r="D158" s="75"/>
      <c r="E158" s="75"/>
      <c r="F158" s="75"/>
      <c r="G158" s="75"/>
      <c r="H158" s="75"/>
      <c r="I158" s="75"/>
    </row>
    <row r="160" spans="1:9" ht="26.4" x14ac:dyDescent="0.65">
      <c r="C160" s="79" t="str">
        <f>合計データ2!A1</f>
        <v>売上　計画ｘ見込み（1900年1月）</v>
      </c>
      <c r="D160" s="79"/>
      <c r="E160" s="79"/>
      <c r="F160" s="79"/>
      <c r="G160" s="79"/>
    </row>
    <row r="161" spans="3:7" x14ac:dyDescent="0.45">
      <c r="C161" s="22"/>
      <c r="D161" s="22"/>
      <c r="E161" s="22"/>
      <c r="F161" s="22"/>
      <c r="G161" s="22"/>
    </row>
    <row r="208" spans="1:9" x14ac:dyDescent="0.45">
      <c r="A208" s="75">
        <f>$A$52</f>
        <v>0</v>
      </c>
      <c r="B208" s="75"/>
      <c r="C208" s="75"/>
      <c r="D208" s="75"/>
      <c r="E208" s="75"/>
      <c r="F208" s="75"/>
      <c r="G208" s="75"/>
      <c r="H208" s="75"/>
      <c r="I208" s="75"/>
    </row>
    <row r="209" spans="1:9" x14ac:dyDescent="0.45">
      <c r="A209" s="75"/>
      <c r="B209" s="75"/>
      <c r="C209" s="75"/>
      <c r="D209" s="75"/>
      <c r="E209" s="75"/>
      <c r="F209" s="75"/>
      <c r="G209" s="75"/>
      <c r="H209" s="75"/>
      <c r="I209" s="75"/>
    </row>
    <row r="210" spans="1:9" x14ac:dyDescent="0.45">
      <c r="A210" s="75"/>
      <c r="B210" s="75"/>
      <c r="C210" s="75"/>
      <c r="D210" s="75"/>
      <c r="E210" s="75"/>
      <c r="F210" s="75"/>
      <c r="G210" s="75"/>
      <c r="H210" s="75"/>
      <c r="I210" s="75"/>
    </row>
    <row r="212" spans="1:9" ht="26.4" x14ac:dyDescent="0.65">
      <c r="C212" s="76" t="str">
        <f>合計データ2!H1</f>
        <v>稼働率　計画ｘ見込み（1900年1月）</v>
      </c>
      <c r="D212" s="79"/>
      <c r="E212" s="79"/>
      <c r="F212" s="79"/>
      <c r="G212" s="79"/>
    </row>
    <row r="260" spans="1:9" x14ac:dyDescent="0.45">
      <c r="A260" s="75">
        <f>$A$52</f>
        <v>0</v>
      </c>
      <c r="B260" s="75"/>
      <c r="C260" s="75"/>
      <c r="D260" s="75"/>
      <c r="E260" s="75"/>
      <c r="F260" s="75"/>
      <c r="G260" s="75"/>
      <c r="H260" s="75"/>
      <c r="I260" s="75"/>
    </row>
    <row r="261" spans="1:9" x14ac:dyDescent="0.45">
      <c r="A261" s="75"/>
      <c r="B261" s="75"/>
      <c r="C261" s="75"/>
      <c r="D261" s="75"/>
      <c r="E261" s="75"/>
      <c r="F261" s="75"/>
      <c r="G261" s="75"/>
      <c r="H261" s="75"/>
      <c r="I261" s="75"/>
    </row>
    <row r="262" spans="1:9" x14ac:dyDescent="0.45">
      <c r="A262" s="75"/>
      <c r="B262" s="75"/>
      <c r="C262" s="75"/>
      <c r="D262" s="75"/>
      <c r="E262" s="75"/>
      <c r="F262" s="75"/>
      <c r="G262" s="75"/>
      <c r="H262" s="75"/>
      <c r="I262" s="75"/>
    </row>
    <row r="264" spans="1:9" ht="26.4" x14ac:dyDescent="0.65">
      <c r="C264" s="79" t="str">
        <f>合計データ3!A1</f>
        <v>売上　計画ｘ見込み（1900年1月）</v>
      </c>
      <c r="D264" s="77"/>
      <c r="E264" s="77"/>
      <c r="F264" s="77"/>
      <c r="G264" s="77"/>
    </row>
    <row r="312" spans="1:9" x14ac:dyDescent="0.45">
      <c r="A312" s="75">
        <f>$A$52</f>
        <v>0</v>
      </c>
      <c r="B312" s="75"/>
      <c r="C312" s="75"/>
      <c r="D312" s="75"/>
      <c r="E312" s="75"/>
      <c r="F312" s="75"/>
      <c r="G312" s="75"/>
      <c r="H312" s="75"/>
      <c r="I312" s="75"/>
    </row>
    <row r="313" spans="1:9" x14ac:dyDescent="0.45">
      <c r="A313" s="75"/>
      <c r="B313" s="75"/>
      <c r="C313" s="75"/>
      <c r="D313" s="75"/>
      <c r="E313" s="75"/>
      <c r="F313" s="75"/>
      <c r="G313" s="75"/>
      <c r="H313" s="75"/>
      <c r="I313" s="75"/>
    </row>
    <row r="314" spans="1:9" x14ac:dyDescent="0.45">
      <c r="A314" s="75"/>
      <c r="B314" s="75"/>
      <c r="C314" s="75"/>
      <c r="D314" s="75"/>
      <c r="E314" s="75"/>
      <c r="F314" s="75"/>
      <c r="G314" s="75"/>
      <c r="H314" s="75"/>
      <c r="I314" s="75"/>
    </row>
    <row r="316" spans="1:9" ht="25.2" customHeight="1" x14ac:dyDescent="0.65">
      <c r="C316" s="76" t="str">
        <f>合計データ3!H1</f>
        <v>稼働率　計画ｘ見込み（1900年1月）</v>
      </c>
      <c r="D316" s="77"/>
      <c r="E316" s="77"/>
      <c r="F316" s="77"/>
      <c r="G316" s="77"/>
    </row>
    <row r="317" spans="1:9" ht="14.4" customHeight="1" x14ac:dyDescent="0.45"/>
    <row r="365" spans="1:9" x14ac:dyDescent="0.45">
      <c r="A365" s="75">
        <f>$A$52</f>
        <v>0</v>
      </c>
      <c r="B365" s="75"/>
      <c r="C365" s="75"/>
      <c r="D365" s="75"/>
      <c r="E365" s="75"/>
      <c r="F365" s="75"/>
      <c r="G365" s="75"/>
      <c r="H365" s="75"/>
      <c r="I365" s="75"/>
    </row>
    <row r="366" spans="1:9" x14ac:dyDescent="0.45">
      <c r="A366" s="75"/>
      <c r="B366" s="75"/>
      <c r="C366" s="75"/>
      <c r="D366" s="75"/>
      <c r="E366" s="75"/>
      <c r="F366" s="75"/>
      <c r="G366" s="75"/>
      <c r="H366" s="75"/>
      <c r="I366" s="75"/>
    </row>
    <row r="367" spans="1:9" x14ac:dyDescent="0.45">
      <c r="A367" s="75"/>
      <c r="B367" s="75"/>
      <c r="C367" s="75"/>
      <c r="D367" s="75"/>
      <c r="E367" s="75"/>
      <c r="F367" s="75"/>
      <c r="G367" s="75"/>
      <c r="H367" s="75"/>
      <c r="I367" s="75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C50:H51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1"/>
  <sheetViews>
    <sheetView showGridLines="0" zoomScaleNormal="10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s="92" customFormat="1" ht="20.399999999999999" x14ac:dyDescent="0.45">
      <c r="A1" s="87" t="s">
        <v>0</v>
      </c>
      <c r="B1" s="63" t="s">
        <v>1</v>
      </c>
      <c r="C1" s="86" t="s">
        <v>31</v>
      </c>
      <c r="D1" s="85" t="s">
        <v>35</v>
      </c>
      <c r="E1" s="65" t="s">
        <v>2</v>
      </c>
      <c r="F1" s="84" t="s">
        <v>30</v>
      </c>
      <c r="G1" s="83" t="s">
        <v>36</v>
      </c>
      <c r="H1" s="87" t="s">
        <v>3</v>
      </c>
      <c r="I1" s="88" t="s">
        <v>26</v>
      </c>
      <c r="J1" s="87" t="s">
        <v>16</v>
      </c>
      <c r="K1" s="88" t="s">
        <v>27</v>
      </c>
      <c r="L1" s="88" t="s">
        <v>15</v>
      </c>
      <c r="M1" s="88" t="s">
        <v>37</v>
      </c>
      <c r="N1" s="88" t="s">
        <v>28</v>
      </c>
      <c r="O1" s="89" t="s">
        <v>4</v>
      </c>
      <c r="P1" s="90" t="s">
        <v>33</v>
      </c>
      <c r="Q1" s="91" t="s">
        <v>39</v>
      </c>
      <c r="R1" s="90" t="s">
        <v>5</v>
      </c>
      <c r="S1" s="90" t="s">
        <v>7</v>
      </c>
      <c r="T1" s="90" t="s">
        <v>6</v>
      </c>
      <c r="V1" s="93"/>
      <c r="W1" s="94" t="s">
        <v>17</v>
      </c>
      <c r="X1" s="94" t="s">
        <v>18</v>
      </c>
      <c r="Y1" s="94" t="s">
        <v>19</v>
      </c>
      <c r="Z1" s="94" t="s">
        <v>20</v>
      </c>
      <c r="AA1" s="94" t="s">
        <v>21</v>
      </c>
      <c r="AB1" s="94" t="s">
        <v>22</v>
      </c>
      <c r="AD1" s="95"/>
      <c r="AE1" s="95"/>
    </row>
    <row r="2" spans="1:31" ht="18" x14ac:dyDescent="0.45">
      <c r="A2" s="47"/>
      <c r="B2" s="48"/>
      <c r="C2" s="48"/>
      <c r="D2" s="48"/>
      <c r="E2" s="49"/>
      <c r="F2" s="49"/>
      <c r="G2" s="49"/>
      <c r="H2" s="47"/>
      <c r="I2" s="48"/>
      <c r="J2" s="49"/>
      <c r="K2" s="48"/>
      <c r="L2" s="48"/>
      <c r="M2" s="48"/>
      <c r="N2" s="48"/>
      <c r="O2" s="44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42"/>
      <c r="B3" s="45"/>
      <c r="C3" s="45"/>
      <c r="D3" s="45"/>
      <c r="E3" s="46"/>
      <c r="F3" s="46"/>
      <c r="G3" s="46"/>
      <c r="H3" s="42"/>
      <c r="I3" s="45"/>
      <c r="J3" s="46"/>
      <c r="K3" s="45"/>
      <c r="L3" s="45"/>
      <c r="M3" s="45"/>
      <c r="N3" s="45"/>
      <c r="O3" s="44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47"/>
      <c r="B4" s="48"/>
      <c r="C4" s="48"/>
      <c r="D4" s="48"/>
      <c r="E4" s="49"/>
      <c r="F4" s="49"/>
      <c r="G4" s="49"/>
      <c r="H4" s="47"/>
      <c r="I4" s="48"/>
      <c r="J4" s="49"/>
      <c r="K4" s="48"/>
      <c r="L4" s="48"/>
      <c r="M4" s="48"/>
      <c r="N4" s="48"/>
      <c r="O4" s="44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42"/>
      <c r="B5" s="45"/>
      <c r="C5" s="45"/>
      <c r="D5" s="45"/>
      <c r="E5" s="46"/>
      <c r="F5" s="46"/>
      <c r="G5" s="46"/>
      <c r="H5" s="42"/>
      <c r="I5" s="45"/>
      <c r="J5" s="46"/>
      <c r="K5" s="45"/>
      <c r="L5" s="45"/>
      <c r="M5" s="45"/>
      <c r="N5" s="45"/>
      <c r="O5" s="44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47"/>
      <c r="B6" s="48"/>
      <c r="C6" s="48"/>
      <c r="D6" s="48"/>
      <c r="E6" s="49"/>
      <c r="F6" s="49"/>
      <c r="G6" s="49"/>
      <c r="H6" s="47"/>
      <c r="I6" s="48"/>
      <c r="J6" s="49"/>
      <c r="K6" s="48"/>
      <c r="L6" s="48"/>
      <c r="M6" s="48"/>
      <c r="N6" s="48"/>
      <c r="O6" s="44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42"/>
      <c r="B7" s="45"/>
      <c r="C7" s="45"/>
      <c r="D7" s="45"/>
      <c r="E7" s="46"/>
      <c r="F7" s="46"/>
      <c r="G7" s="46"/>
      <c r="H7" s="42"/>
      <c r="I7" s="45"/>
      <c r="J7" s="46"/>
      <c r="K7" s="45"/>
      <c r="L7" s="45"/>
      <c r="M7" s="45"/>
      <c r="N7" s="45"/>
      <c r="O7" s="44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A8" s="1" t="s">
        <v>38</v>
      </c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6.4" x14ac:dyDescent="0.65">
      <c r="A9" s="80" t="str">
        <f>"売上　計画ｘ見込み（" &amp; TEXT(B11, "yyyy年m月") &amp; "）"</f>
        <v>売上　計画ｘ見込み（1900年1月）</v>
      </c>
      <c r="B9" s="80"/>
      <c r="C9" s="80"/>
      <c r="D9" s="81"/>
      <c r="G9" s="2"/>
      <c r="H9" s="80" t="str">
        <f>"稼働率　計画ｘ見込み（" &amp; TEXT(B11, "yyyy年m月") &amp; "）"</f>
        <v>稼働率　計画ｘ見込み（1900年1月）</v>
      </c>
      <c r="I9" s="80"/>
      <c r="J9" s="80"/>
      <c r="K9" s="80"/>
      <c r="O9" s="1"/>
      <c r="P9" s="1"/>
    </row>
    <row r="10" spans="1:31" ht="25.05" customHeight="1" x14ac:dyDescent="0.45">
      <c r="A10" s="25" t="s">
        <v>12</v>
      </c>
      <c r="B10" s="23" t="s">
        <v>29</v>
      </c>
      <c r="C10" s="34" t="s">
        <v>1</v>
      </c>
      <c r="D10" s="52" t="s">
        <v>31</v>
      </c>
      <c r="E10" s="35" t="s">
        <v>13</v>
      </c>
      <c r="F10" s="64" t="s">
        <v>35</v>
      </c>
      <c r="G10" s="24"/>
      <c r="H10" s="26" t="s">
        <v>12</v>
      </c>
      <c r="I10" s="27" t="s">
        <v>29</v>
      </c>
      <c r="J10" s="28" t="s">
        <v>2</v>
      </c>
      <c r="K10" s="53" t="s">
        <v>30</v>
      </c>
      <c r="L10" s="36" t="s">
        <v>14</v>
      </c>
      <c r="M10" s="74" t="s">
        <v>36</v>
      </c>
      <c r="O10" s="5" t="s">
        <v>9</v>
      </c>
      <c r="P10" s="5" t="s">
        <v>32</v>
      </c>
      <c r="Q10" s="5" t="s">
        <v>8</v>
      </c>
      <c r="R10" s="66" t="s">
        <v>39</v>
      </c>
    </row>
    <row r="11" spans="1:31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 s="8"/>
      <c r="O11" s="10">
        <f>C11/10000</f>
        <v>0</v>
      </c>
      <c r="P11" s="10">
        <f>D11/10000</f>
        <v>0</v>
      </c>
      <c r="Q11" s="10">
        <f>E11/10000</f>
        <v>0</v>
      </c>
      <c r="R11" s="10" t="str">
        <f>IF(OR(F11="",F11=0),"",(D11+F11)/10000)</f>
        <v/>
      </c>
    </row>
    <row r="12" spans="1:31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 s="7"/>
      <c r="O12" s="10">
        <f t="shared" ref="O12:O38" si="6">C12/10000</f>
        <v>0</v>
      </c>
      <c r="P12" s="10">
        <f t="shared" ref="P12:P38" si="7">D12/10000</f>
        <v>0</v>
      </c>
      <c r="Q12" s="10">
        <f t="shared" ref="Q12:Q38" si="8">E12/10000</f>
        <v>0</v>
      </c>
      <c r="R12" s="10" t="str">
        <f t="shared" ref="R12:R38" si="9">IF(OR(F12="",F12=0),"",(D12+F12)/10000)</f>
        <v/>
      </c>
    </row>
    <row r="13" spans="1:31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 s="7"/>
      <c r="O13" s="10">
        <f t="shared" si="6"/>
        <v>0</v>
      </c>
      <c r="P13" s="10">
        <f t="shared" si="7"/>
        <v>0</v>
      </c>
      <c r="Q13" s="10">
        <f t="shared" si="8"/>
        <v>0</v>
      </c>
      <c r="R13" s="10" t="str">
        <f t="shared" si="9"/>
        <v/>
      </c>
    </row>
    <row r="14" spans="1:31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 s="7"/>
      <c r="O14" s="10">
        <f t="shared" si="6"/>
        <v>0</v>
      </c>
      <c r="P14" s="10">
        <f t="shared" si="7"/>
        <v>0</v>
      </c>
      <c r="Q14" s="10">
        <f t="shared" si="8"/>
        <v>0</v>
      </c>
      <c r="R14" s="10" t="str">
        <f t="shared" si="9"/>
        <v/>
      </c>
    </row>
    <row r="15" spans="1:31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6"/>
        <v>0</v>
      </c>
      <c r="P15" s="10">
        <f t="shared" si="7"/>
        <v>0</v>
      </c>
      <c r="Q15" s="10">
        <f t="shared" si="8"/>
        <v>0</v>
      </c>
      <c r="R15" s="10" t="str">
        <f t="shared" si="9"/>
        <v/>
      </c>
    </row>
    <row r="16" spans="1:31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>
        <f t="shared" si="6"/>
        <v>0</v>
      </c>
      <c r="P16" s="10">
        <f t="shared" si="7"/>
        <v>0</v>
      </c>
      <c r="Q16" s="10">
        <f t="shared" si="8"/>
        <v>0</v>
      </c>
      <c r="R16" s="10" t="str">
        <f t="shared" si="9"/>
        <v/>
      </c>
    </row>
    <row r="17" spans="1:18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>
        <f t="shared" si="6"/>
        <v>0</v>
      </c>
      <c r="P17" s="10">
        <f t="shared" si="7"/>
        <v>0</v>
      </c>
      <c r="Q17" s="10">
        <f t="shared" si="8"/>
        <v>0</v>
      </c>
      <c r="R17" s="10" t="str">
        <f t="shared" si="9"/>
        <v/>
      </c>
    </row>
    <row r="18" spans="1:18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6"/>
        <v>0</v>
      </c>
      <c r="P18" s="10">
        <f t="shared" si="7"/>
        <v>0</v>
      </c>
      <c r="Q18" s="10">
        <f t="shared" si="8"/>
        <v>0</v>
      </c>
      <c r="R18" s="10" t="str">
        <f t="shared" si="9"/>
        <v/>
      </c>
    </row>
    <row r="19" spans="1:18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>
        <f t="shared" si="6"/>
        <v>0</v>
      </c>
      <c r="P19" s="10">
        <f t="shared" si="7"/>
        <v>0</v>
      </c>
      <c r="Q19" s="10">
        <f t="shared" si="8"/>
        <v>0</v>
      </c>
      <c r="R19" s="10" t="str">
        <f t="shared" si="9"/>
        <v/>
      </c>
    </row>
    <row r="20" spans="1:18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6"/>
        <v>0</v>
      </c>
      <c r="P20" s="10">
        <f t="shared" si="7"/>
        <v>0</v>
      </c>
      <c r="Q20" s="10">
        <f t="shared" si="8"/>
        <v>0</v>
      </c>
      <c r="R20" s="10" t="str">
        <f t="shared" si="9"/>
        <v/>
      </c>
    </row>
    <row r="21" spans="1:18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6"/>
        <v>0</v>
      </c>
      <c r="P21" s="10">
        <f t="shared" si="7"/>
        <v>0</v>
      </c>
      <c r="Q21" s="10">
        <f t="shared" si="8"/>
        <v>0</v>
      </c>
      <c r="R21" s="10" t="str">
        <f t="shared" si="9"/>
        <v/>
      </c>
    </row>
    <row r="22" spans="1:18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6"/>
        <v>0</v>
      </c>
      <c r="P22" s="10">
        <f t="shared" si="7"/>
        <v>0</v>
      </c>
      <c r="Q22" s="10">
        <f t="shared" si="8"/>
        <v>0</v>
      </c>
      <c r="R22" s="10" t="str">
        <f t="shared" si="9"/>
        <v/>
      </c>
    </row>
    <row r="23" spans="1:18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6"/>
        <v>0</v>
      </c>
      <c r="P23" s="10">
        <f t="shared" si="7"/>
        <v>0</v>
      </c>
      <c r="Q23" s="10">
        <f t="shared" si="8"/>
        <v>0</v>
      </c>
      <c r="R23" s="10" t="str">
        <f t="shared" si="9"/>
        <v/>
      </c>
    </row>
    <row r="24" spans="1:18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>
        <f t="shared" si="6"/>
        <v>0</v>
      </c>
      <c r="P24" s="10">
        <f t="shared" si="7"/>
        <v>0</v>
      </c>
      <c r="Q24" s="10">
        <f t="shared" si="8"/>
        <v>0</v>
      </c>
      <c r="R24" s="10" t="str">
        <f t="shared" si="9"/>
        <v/>
      </c>
    </row>
    <row r="25" spans="1:18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6"/>
        <v>0</v>
      </c>
      <c r="P25" s="10">
        <f t="shared" si="7"/>
        <v>0</v>
      </c>
      <c r="Q25" s="10">
        <f t="shared" si="8"/>
        <v>0</v>
      </c>
      <c r="R25" s="10" t="str">
        <f t="shared" si="9"/>
        <v/>
      </c>
    </row>
    <row r="26" spans="1:18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>
        <f t="shared" si="6"/>
        <v>0</v>
      </c>
      <c r="P26" s="10">
        <f t="shared" si="7"/>
        <v>0</v>
      </c>
      <c r="Q26" s="10">
        <f t="shared" si="8"/>
        <v>0</v>
      </c>
      <c r="R26" s="10" t="str">
        <f t="shared" si="9"/>
        <v/>
      </c>
    </row>
    <row r="27" spans="1:18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6"/>
        <v>0</v>
      </c>
      <c r="P27" s="10">
        <f t="shared" si="7"/>
        <v>0</v>
      </c>
      <c r="Q27" s="10">
        <f t="shared" si="8"/>
        <v>0</v>
      </c>
      <c r="R27" s="10" t="str">
        <f t="shared" si="9"/>
        <v/>
      </c>
    </row>
    <row r="28" spans="1:18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6"/>
        <v>0</v>
      </c>
      <c r="P28" s="10">
        <f t="shared" si="7"/>
        <v>0</v>
      </c>
      <c r="Q28" s="10">
        <f t="shared" si="8"/>
        <v>0</v>
      </c>
      <c r="R28" s="10" t="str">
        <f t="shared" si="9"/>
        <v/>
      </c>
    </row>
    <row r="29" spans="1:18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6"/>
        <v>0</v>
      </c>
      <c r="P29" s="10">
        <f t="shared" si="7"/>
        <v>0</v>
      </c>
      <c r="Q29" s="10">
        <f t="shared" si="8"/>
        <v>0</v>
      </c>
      <c r="R29" s="10" t="str">
        <f t="shared" si="9"/>
        <v/>
      </c>
    </row>
    <row r="30" spans="1:18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71"/>
      <c r="N30"/>
      <c r="O30" s="10">
        <f t="shared" si="6"/>
        <v>0</v>
      </c>
      <c r="P30" s="10">
        <f t="shared" si="7"/>
        <v>0</v>
      </c>
      <c r="Q30" s="10">
        <f t="shared" si="8"/>
        <v>0</v>
      </c>
      <c r="R30" s="10" t="str">
        <f t="shared" si="9"/>
        <v/>
      </c>
    </row>
    <row r="31" spans="1:18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  <c r="N31"/>
      <c r="O31" s="10">
        <f t="shared" si="6"/>
        <v>0</v>
      </c>
      <c r="P31" s="10">
        <f t="shared" si="7"/>
        <v>0</v>
      </c>
      <c r="Q31" s="10">
        <f t="shared" si="8"/>
        <v>0</v>
      </c>
      <c r="R31" s="10" t="str">
        <f t="shared" si="9"/>
        <v/>
      </c>
    </row>
    <row r="32" spans="1:18" x14ac:dyDescent="0.45">
      <c r="A32" s="29"/>
      <c r="B32" s="30"/>
      <c r="C32" s="39"/>
      <c r="D32" s="38"/>
      <c r="E32" s="40"/>
      <c r="F32" s="41"/>
      <c r="H32" s="29"/>
      <c r="I32" s="30"/>
      <c r="J32" s="32"/>
      <c r="K32" s="37"/>
      <c r="L32" s="33"/>
      <c r="M32" s="71"/>
      <c r="N32"/>
      <c r="O32" s="10">
        <f t="shared" si="6"/>
        <v>0</v>
      </c>
      <c r="P32" s="10">
        <f t="shared" si="7"/>
        <v>0</v>
      </c>
      <c r="Q32" s="10">
        <f t="shared" si="8"/>
        <v>0</v>
      </c>
      <c r="R32" s="10" t="str">
        <f t="shared" si="9"/>
        <v/>
      </c>
    </row>
    <row r="33" spans="1:18" x14ac:dyDescent="0.45">
      <c r="A33" s="59"/>
      <c r="B33" s="55"/>
      <c r="C33" s="54"/>
      <c r="D33" s="50"/>
      <c r="E33" s="60"/>
      <c r="F33" s="51"/>
      <c r="G33" s="8"/>
      <c r="H33" s="54"/>
      <c r="I33" s="55"/>
      <c r="J33" s="56"/>
      <c r="K33" s="57"/>
      <c r="L33" s="61"/>
      <c r="M33" s="70"/>
      <c r="N33"/>
      <c r="O33" s="10">
        <f t="shared" si="6"/>
        <v>0</v>
      </c>
      <c r="P33" s="10">
        <f t="shared" si="7"/>
        <v>0</v>
      </c>
      <c r="Q33" s="10">
        <f t="shared" si="8"/>
        <v>0</v>
      </c>
      <c r="R33" s="10" t="str">
        <f t="shared" si="9"/>
        <v/>
      </c>
    </row>
    <row r="34" spans="1:18" x14ac:dyDescent="0.45">
      <c r="A34" s="29"/>
      <c r="B34" s="30"/>
      <c r="C34" s="39"/>
      <c r="D34" s="38"/>
      <c r="E34" s="40"/>
      <c r="F34" s="41"/>
      <c r="H34" s="29"/>
      <c r="I34" s="30"/>
      <c r="J34" s="32"/>
      <c r="K34" s="37"/>
      <c r="L34" s="33"/>
      <c r="M34" s="71"/>
      <c r="N34"/>
      <c r="O34" s="10">
        <f t="shared" si="6"/>
        <v>0</v>
      </c>
      <c r="P34" s="10">
        <f t="shared" si="7"/>
        <v>0</v>
      </c>
      <c r="Q34" s="10">
        <f t="shared" si="8"/>
        <v>0</v>
      </c>
      <c r="R34" s="10" t="str">
        <f t="shared" si="9"/>
        <v/>
      </c>
    </row>
    <row r="35" spans="1:18" x14ac:dyDescent="0.45">
      <c r="A35" s="59"/>
      <c r="B35" s="55"/>
      <c r="C35" s="54"/>
      <c r="D35" s="50"/>
      <c r="E35" s="60"/>
      <c r="F35" s="51"/>
      <c r="G35" s="8"/>
      <c r="H35" s="54"/>
      <c r="I35" s="55"/>
      <c r="J35" s="56"/>
      <c r="K35" s="57"/>
      <c r="L35" s="61"/>
      <c r="M35" s="70"/>
      <c r="N35"/>
      <c r="O35" s="10">
        <f t="shared" si="6"/>
        <v>0</v>
      </c>
      <c r="P35" s="10">
        <f t="shared" si="7"/>
        <v>0</v>
      </c>
      <c r="Q35" s="10">
        <f t="shared" si="8"/>
        <v>0</v>
      </c>
      <c r="R35" s="10" t="str">
        <f t="shared" si="9"/>
        <v/>
      </c>
    </row>
    <row r="36" spans="1:18" x14ac:dyDescent="0.45">
      <c r="A36" s="29"/>
      <c r="B36" s="30"/>
      <c r="C36" s="39"/>
      <c r="D36" s="38"/>
      <c r="E36" s="40"/>
      <c r="F36" s="41"/>
      <c r="H36" s="29"/>
      <c r="I36" s="30"/>
      <c r="J36" s="32"/>
      <c r="K36" s="37"/>
      <c r="L36" s="33"/>
      <c r="M36" s="71"/>
      <c r="N36"/>
      <c r="O36" s="10">
        <f t="shared" si="6"/>
        <v>0</v>
      </c>
      <c r="P36" s="10">
        <f t="shared" si="7"/>
        <v>0</v>
      </c>
      <c r="Q36" s="10">
        <f t="shared" si="8"/>
        <v>0</v>
      </c>
      <c r="R36" s="10" t="str">
        <f t="shared" si="9"/>
        <v/>
      </c>
    </row>
    <row r="37" spans="1:18" x14ac:dyDescent="0.45">
      <c r="A37" s="59"/>
      <c r="B37" s="55"/>
      <c r="C37" s="54"/>
      <c r="D37" s="50"/>
      <c r="E37" s="60"/>
      <c r="F37" s="51"/>
      <c r="G37" s="8"/>
      <c r="H37" s="54"/>
      <c r="I37" s="55"/>
      <c r="J37" s="56"/>
      <c r="K37" s="57"/>
      <c r="L37" s="61"/>
      <c r="M37" s="70"/>
      <c r="N37"/>
      <c r="O37" s="10">
        <f t="shared" si="6"/>
        <v>0</v>
      </c>
      <c r="P37" s="10">
        <f t="shared" si="7"/>
        <v>0</v>
      </c>
      <c r="Q37" s="10">
        <f t="shared" si="8"/>
        <v>0</v>
      </c>
      <c r="R37" s="10" t="str">
        <f t="shared" si="9"/>
        <v/>
      </c>
    </row>
    <row r="38" spans="1:18" x14ac:dyDescent="0.45">
      <c r="A38" s="29"/>
      <c r="B38" s="30"/>
      <c r="C38" s="39"/>
      <c r="D38" s="38"/>
      <c r="E38" s="40"/>
      <c r="F38" s="41"/>
      <c r="H38" s="29"/>
      <c r="I38" s="30"/>
      <c r="J38" s="32"/>
      <c r="K38" s="37"/>
      <c r="L38" s="33"/>
      <c r="M38" s="71"/>
      <c r="N38"/>
      <c r="O38" s="10">
        <f t="shared" si="6"/>
        <v>0</v>
      </c>
      <c r="P38" s="10">
        <f t="shared" si="7"/>
        <v>0</v>
      </c>
      <c r="Q38" s="10">
        <f t="shared" si="8"/>
        <v>0</v>
      </c>
      <c r="R38" s="10" t="str">
        <f t="shared" si="9"/>
        <v/>
      </c>
    </row>
    <row r="39" spans="1:18" x14ac:dyDescent="0.45">
      <c r="A39" s="59"/>
      <c r="B39" s="55"/>
      <c r="C39" s="54"/>
      <c r="D39" s="50"/>
      <c r="E39" s="60"/>
      <c r="F39" s="51"/>
      <c r="G39" s="8"/>
      <c r="H39" s="54"/>
      <c r="I39" s="55"/>
      <c r="J39" s="56"/>
      <c r="K39" s="57"/>
      <c r="L39" s="61"/>
      <c r="M39" s="70"/>
    </row>
    <row r="40" spans="1:18" x14ac:dyDescent="0.45">
      <c r="A40" s="31"/>
      <c r="B40" s="62"/>
      <c r="C40" s="68"/>
      <c r="D40" s="67"/>
      <c r="E40" s="69"/>
      <c r="F40" s="41"/>
      <c r="G40" s="8"/>
      <c r="H40" s="31"/>
      <c r="I40" s="62"/>
      <c r="J40" s="72"/>
      <c r="K40" s="73"/>
      <c r="L40" s="71"/>
      <c r="M40" s="71"/>
    </row>
    <row r="41" spans="1:18" x14ac:dyDescent="0.45">
      <c r="A41" s="1" t="s">
        <v>38</v>
      </c>
    </row>
  </sheetData>
  <mergeCells count="2">
    <mergeCell ref="A9:D9"/>
    <mergeCell ref="H9:K9"/>
  </mergeCells>
  <phoneticPr fontId="2"/>
  <conditionalFormatting sqref="E11:E40">
    <cfRule type="expression" dxfId="9" priority="1">
      <formula>$E11&lt;0</formula>
    </cfRule>
  </conditionalFormatting>
  <conditionalFormatting sqref="L11:L40">
    <cfRule type="expression" dxfId="8" priority="2">
      <formula>$L11&lt;0</formula>
    </cfRule>
  </conditionalFormatting>
  <conditionalFormatting sqref="W3:AB3">
    <cfRule type="cellIs" dxfId="7" priority="20" operator="lessThan">
      <formula>0</formula>
    </cfRule>
    <cfRule type="cellIs" dxfId="6" priority="21" operator="greaterThan">
      <formula>0</formula>
    </cfRule>
  </conditionalFormatting>
  <conditionalFormatting sqref="W5:AB5">
    <cfRule type="cellIs" dxfId="5" priority="18" operator="lessThan">
      <formula>0</formula>
    </cfRule>
    <cfRule type="cellIs" dxfId="4" priority="19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3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80" t="str">
        <f>"売上　計画ｘ見込み（" &amp; TEXT(B3, "yyyy年m月") &amp; "）"</f>
        <v>売上　計画ｘ見込み（1900年1月）</v>
      </c>
      <c r="B1" s="80"/>
      <c r="C1" s="80"/>
      <c r="D1" s="80"/>
      <c r="H1" s="82" t="str">
        <f>"稼働率　計画ｘ見込み（" &amp; TEXT(B3, "yyyy年m月") &amp; "）"</f>
        <v>稼働率　計画ｘ見込み（1900年1月）</v>
      </c>
      <c r="I1" s="80"/>
      <c r="J1" s="80"/>
      <c r="K1" s="80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35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36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>
        <f t="shared" ref="O4:O30" si="0">C4/10000</f>
        <v>0</v>
      </c>
      <c r="P4" s="10">
        <f t="shared" ref="P4:P30" si="1">D4/10000</f>
        <v>0</v>
      </c>
      <c r="Q4" s="10">
        <f t="shared" ref="Q4:Q30" si="2">E4/10000</f>
        <v>0</v>
      </c>
      <c r="R4" s="10" t="str">
        <f t="shared" ref="R4:R30" si="3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70"/>
      <c r="N5" s="7"/>
      <c r="O5" s="10">
        <f t="shared" si="0"/>
        <v>0</v>
      </c>
      <c r="P5" s="10">
        <f t="shared" si="1"/>
        <v>0</v>
      </c>
      <c r="Q5" s="10">
        <f t="shared" si="2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71"/>
      <c r="N6" s="7"/>
      <c r="O6" s="10">
        <f t="shared" si="0"/>
        <v>0</v>
      </c>
      <c r="P6" s="10">
        <f t="shared" si="1"/>
        <v>0</v>
      </c>
      <c r="Q6" s="10">
        <f t="shared" si="2"/>
        <v>0</v>
      </c>
      <c r="R6" s="10" t="str">
        <f t="shared" si="3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70"/>
      <c r="N7"/>
      <c r="O7" s="10">
        <f t="shared" si="0"/>
        <v>0</v>
      </c>
      <c r="P7" s="10">
        <f t="shared" si="1"/>
        <v>0</v>
      </c>
      <c r="Q7" s="10">
        <f t="shared" si="2"/>
        <v>0</v>
      </c>
      <c r="R7" s="10" t="str">
        <f t="shared" si="3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>
        <f t="shared" si="0"/>
        <v>0</v>
      </c>
      <c r="P8" s="10">
        <f t="shared" si="1"/>
        <v>0</v>
      </c>
      <c r="Q8" s="10">
        <f t="shared" si="2"/>
        <v>0</v>
      </c>
      <c r="R8" s="10" t="str">
        <f t="shared" si="3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58"/>
      <c r="N9"/>
      <c r="O9" s="10">
        <f t="shared" si="0"/>
        <v>0</v>
      </c>
      <c r="P9" s="10">
        <f t="shared" si="1"/>
        <v>0</v>
      </c>
      <c r="Q9" s="10">
        <f t="shared" si="2"/>
        <v>0</v>
      </c>
      <c r="R9" s="10" t="str">
        <f t="shared" si="3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3"/>
      <c r="N10"/>
      <c r="O10" s="10">
        <f t="shared" si="0"/>
        <v>0</v>
      </c>
      <c r="P10" s="10">
        <f t="shared" si="1"/>
        <v>0</v>
      </c>
      <c r="Q10" s="10">
        <f t="shared" si="2"/>
        <v>0</v>
      </c>
      <c r="R10" s="10" t="str">
        <f t="shared" si="3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>
        <f t="shared" si="0"/>
        <v>0</v>
      </c>
      <c r="P11" s="10">
        <f t="shared" si="1"/>
        <v>0</v>
      </c>
      <c r="Q11" s="10">
        <f t="shared" si="2"/>
        <v>0</v>
      </c>
      <c r="R11" s="10" t="str">
        <f t="shared" si="3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/>
      <c r="O12" s="10">
        <f t="shared" si="0"/>
        <v>0</v>
      </c>
      <c r="P12" s="10">
        <f t="shared" si="1"/>
        <v>0</v>
      </c>
      <c r="Q12" s="10">
        <f t="shared" si="2"/>
        <v>0</v>
      </c>
      <c r="R12" s="10" t="str">
        <f t="shared" si="3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/>
      <c r="O13" s="10">
        <f t="shared" si="0"/>
        <v>0</v>
      </c>
      <c r="P13" s="10">
        <f t="shared" si="1"/>
        <v>0</v>
      </c>
      <c r="Q13" s="10">
        <f t="shared" si="2"/>
        <v>0</v>
      </c>
      <c r="R13" s="10" t="str">
        <f t="shared" si="3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>
        <f t="shared" si="0"/>
        <v>0</v>
      </c>
      <c r="P14" s="10">
        <f t="shared" si="1"/>
        <v>0</v>
      </c>
      <c r="Q14" s="10">
        <f t="shared" si="2"/>
        <v>0</v>
      </c>
      <c r="R14" s="10" t="str">
        <f t="shared" si="3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0"/>
        <v>0</v>
      </c>
      <c r="P15" s="10">
        <f t="shared" si="1"/>
        <v>0</v>
      </c>
      <c r="Q15" s="10">
        <f t="shared" si="2"/>
        <v>0</v>
      </c>
      <c r="R15" s="10" t="str">
        <f t="shared" si="3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43"/>
      <c r="N16"/>
      <c r="O16" s="10">
        <f t="shared" si="0"/>
        <v>0</v>
      </c>
      <c r="P16" s="10">
        <f t="shared" si="1"/>
        <v>0</v>
      </c>
      <c r="Q16" s="10">
        <f t="shared" si="2"/>
        <v>0</v>
      </c>
      <c r="R16" s="10" t="str">
        <f t="shared" si="3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>
        <f t="shared" si="0"/>
        <v>0</v>
      </c>
      <c r="P17" s="10">
        <f t="shared" si="1"/>
        <v>0</v>
      </c>
      <c r="Q17" s="10">
        <f t="shared" si="2"/>
        <v>0</v>
      </c>
      <c r="R17" s="10" t="str">
        <f t="shared" si="3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0"/>
        <v>0</v>
      </c>
      <c r="P18" s="10">
        <f t="shared" si="1"/>
        <v>0</v>
      </c>
      <c r="Q18" s="10">
        <f t="shared" si="2"/>
        <v>0</v>
      </c>
      <c r="R18" s="10" t="str">
        <f t="shared" si="3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>
        <f t="shared" si="0"/>
        <v>0</v>
      </c>
      <c r="P19" s="10">
        <f t="shared" si="1"/>
        <v>0</v>
      </c>
      <c r="Q19" s="10">
        <f t="shared" si="2"/>
        <v>0</v>
      </c>
      <c r="R19" s="10" t="str">
        <f t="shared" si="3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0"/>
        <v>0</v>
      </c>
      <c r="P20" s="10">
        <f t="shared" si="1"/>
        <v>0</v>
      </c>
      <c r="Q20" s="10">
        <f t="shared" si="2"/>
        <v>0</v>
      </c>
      <c r="R20" s="10" t="str">
        <f t="shared" si="3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0"/>
        <v>0</v>
      </c>
      <c r="P21" s="10">
        <f t="shared" si="1"/>
        <v>0</v>
      </c>
      <c r="Q21" s="10">
        <f t="shared" si="2"/>
        <v>0</v>
      </c>
      <c r="R21" s="10" t="str">
        <f t="shared" si="3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0"/>
        <v>0</v>
      </c>
      <c r="P22" s="10">
        <f t="shared" si="1"/>
        <v>0</v>
      </c>
      <c r="Q22" s="10">
        <f t="shared" si="2"/>
        <v>0</v>
      </c>
      <c r="R22" s="10" t="str">
        <f t="shared" si="3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0"/>
        <v>0</v>
      </c>
      <c r="P23" s="10">
        <f t="shared" si="1"/>
        <v>0</v>
      </c>
      <c r="Q23" s="10">
        <f t="shared" si="2"/>
        <v>0</v>
      </c>
      <c r="R23" s="10" t="str">
        <f t="shared" si="3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>
        <f t="shared" si="0"/>
        <v>0</v>
      </c>
      <c r="P24" s="10">
        <f t="shared" si="1"/>
        <v>0</v>
      </c>
      <c r="Q24" s="10">
        <f t="shared" si="2"/>
        <v>0</v>
      </c>
      <c r="R24" s="10" t="str">
        <f t="shared" si="3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0"/>
        <v>0</v>
      </c>
      <c r="P25" s="10">
        <f t="shared" si="1"/>
        <v>0</v>
      </c>
      <c r="Q25" s="10">
        <f t="shared" si="2"/>
        <v>0</v>
      </c>
      <c r="R25" s="10" t="str">
        <f t="shared" si="3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>
        <f t="shared" si="0"/>
        <v>0</v>
      </c>
      <c r="P26" s="10">
        <f t="shared" si="1"/>
        <v>0</v>
      </c>
      <c r="Q26" s="10">
        <f t="shared" si="2"/>
        <v>0</v>
      </c>
      <c r="R26" s="10" t="str">
        <f t="shared" si="3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0"/>
        <v>0</v>
      </c>
      <c r="P27" s="10">
        <f t="shared" si="1"/>
        <v>0</v>
      </c>
      <c r="Q27" s="10">
        <f t="shared" si="2"/>
        <v>0</v>
      </c>
      <c r="R27" s="10" t="str">
        <f t="shared" si="3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0"/>
        <v>0</v>
      </c>
      <c r="P28" s="10">
        <f t="shared" si="1"/>
        <v>0</v>
      </c>
      <c r="Q28" s="10">
        <f t="shared" si="2"/>
        <v>0</v>
      </c>
      <c r="R28" s="10" t="str">
        <f t="shared" si="3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0"/>
        <v>0</v>
      </c>
      <c r="P29" s="10">
        <f t="shared" si="1"/>
        <v>0</v>
      </c>
      <c r="Q29" s="10">
        <f t="shared" si="2"/>
        <v>0</v>
      </c>
      <c r="R29" s="10" t="str">
        <f t="shared" si="3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1"/>
        <v>0</v>
      </c>
      <c r="Q30" s="10">
        <f t="shared" si="2"/>
        <v>0</v>
      </c>
      <c r="R30" s="10" t="str">
        <f t="shared" si="3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</row>
    <row r="33" spans="1:7" x14ac:dyDescent="0.45">
      <c r="A33" s="1" t="s">
        <v>38</v>
      </c>
      <c r="G33" s="8"/>
    </row>
  </sheetData>
  <mergeCells count="2">
    <mergeCell ref="A1:D1"/>
    <mergeCell ref="H1:K1"/>
  </mergeCells>
  <phoneticPr fontId="2"/>
  <conditionalFormatting sqref="E3:E32">
    <cfRule type="expression" dxfId="3" priority="1">
      <formula>$E3&lt;0</formula>
    </cfRule>
  </conditionalFormatting>
  <conditionalFormatting sqref="L3:L32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4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80" t="str">
        <f>"売上　計画ｘ見込み（" &amp; TEXT(B3, "yyyy年m月") &amp; "）"</f>
        <v>売上　計画ｘ見込み（1900年1月）</v>
      </c>
      <c r="B1" s="80"/>
      <c r="C1" s="80"/>
      <c r="D1" s="80"/>
      <c r="H1" s="82" t="str">
        <f>"稼働率　計画ｘ見込み（" &amp; TEXT(B3, "yyyy年m月") &amp; "）"</f>
        <v>稼働率　計画ｘ見込み（1900年1月）</v>
      </c>
      <c r="I1" s="80"/>
      <c r="J1" s="80"/>
      <c r="K1" s="80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35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36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>
        <f t="shared" ref="O4:Q30" si="0">C4/10000</f>
        <v>0</v>
      </c>
      <c r="P4" s="10">
        <f t="shared" si="0"/>
        <v>0</v>
      </c>
      <c r="Q4" s="10">
        <f t="shared" si="0"/>
        <v>0</v>
      </c>
      <c r="R4" s="10" t="str">
        <f t="shared" ref="R4:R30" si="1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58"/>
      <c r="N5" s="7"/>
      <c r="O5" s="10">
        <f t="shared" si="0"/>
        <v>0</v>
      </c>
      <c r="P5" s="10">
        <f t="shared" si="0"/>
        <v>0</v>
      </c>
      <c r="Q5" s="10">
        <f t="shared" si="0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43"/>
      <c r="N6" s="7"/>
      <c r="O6" s="10">
        <f t="shared" si="0"/>
        <v>0</v>
      </c>
      <c r="P6" s="10">
        <f t="shared" si="0"/>
        <v>0</v>
      </c>
      <c r="Q6" s="10">
        <f t="shared" si="0"/>
        <v>0</v>
      </c>
      <c r="R6" s="10" t="str">
        <f t="shared" si="1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58"/>
      <c r="N7"/>
      <c r="O7" s="10">
        <f t="shared" si="0"/>
        <v>0</v>
      </c>
      <c r="P7" s="10">
        <f t="shared" si="0"/>
        <v>0</v>
      </c>
      <c r="Q7" s="10">
        <f t="shared" si="0"/>
        <v>0</v>
      </c>
      <c r="R7" s="10" t="str">
        <f t="shared" si="1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>
        <f t="shared" si="0"/>
        <v>0</v>
      </c>
      <c r="P8" s="10">
        <f t="shared" si="0"/>
        <v>0</v>
      </c>
      <c r="Q8" s="10">
        <f t="shared" si="0"/>
        <v>0</v>
      </c>
      <c r="R8" s="10" t="str">
        <f t="shared" si="1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70"/>
      <c r="N9"/>
      <c r="O9" s="10">
        <f t="shared" si="0"/>
        <v>0</v>
      </c>
      <c r="P9" s="10">
        <f t="shared" si="0"/>
        <v>0</v>
      </c>
      <c r="Q9" s="10">
        <f t="shared" si="0"/>
        <v>0</v>
      </c>
      <c r="R9" s="10" t="str">
        <f t="shared" si="1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71"/>
      <c r="N10"/>
      <c r="O10" s="10">
        <f t="shared" si="0"/>
        <v>0</v>
      </c>
      <c r="P10" s="10">
        <f t="shared" si="0"/>
        <v>0</v>
      </c>
      <c r="Q10" s="10">
        <f t="shared" si="0"/>
        <v>0</v>
      </c>
      <c r="R10" s="10" t="str">
        <f t="shared" si="1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>
        <f t="shared" si="0"/>
        <v>0</v>
      </c>
      <c r="P11" s="10">
        <f t="shared" si="0"/>
        <v>0</v>
      </c>
      <c r="Q11" s="10">
        <f t="shared" si="0"/>
        <v>0</v>
      </c>
      <c r="R11" s="10" t="str">
        <f t="shared" si="1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43"/>
      <c r="N12"/>
      <c r="O12" s="10">
        <f t="shared" si="0"/>
        <v>0</v>
      </c>
      <c r="P12" s="10">
        <f t="shared" si="0"/>
        <v>0</v>
      </c>
      <c r="Q12" s="10">
        <f t="shared" si="0"/>
        <v>0</v>
      </c>
      <c r="R12" s="10" t="str">
        <f t="shared" si="1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70"/>
      <c r="N13"/>
      <c r="O13" s="10">
        <f t="shared" si="0"/>
        <v>0</v>
      </c>
      <c r="P13" s="10">
        <f t="shared" si="0"/>
        <v>0</v>
      </c>
      <c r="Q13" s="10">
        <f t="shared" si="0"/>
        <v>0</v>
      </c>
      <c r="R13" s="10" t="str">
        <f t="shared" si="1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>
        <f t="shared" si="0"/>
        <v>0</v>
      </c>
      <c r="P14" s="10">
        <f t="shared" si="0"/>
        <v>0</v>
      </c>
      <c r="Q14" s="10">
        <f t="shared" si="0"/>
        <v>0</v>
      </c>
      <c r="R14" s="10" t="str">
        <f t="shared" si="1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0"/>
        <v>0</v>
      </c>
      <c r="P15" s="10">
        <f t="shared" si="0"/>
        <v>0</v>
      </c>
      <c r="Q15" s="10">
        <f t="shared" si="0"/>
        <v>0</v>
      </c>
      <c r="R15" s="10" t="str">
        <f t="shared" si="1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>
        <f t="shared" si="0"/>
        <v>0</v>
      </c>
      <c r="P16" s="10">
        <f t="shared" si="0"/>
        <v>0</v>
      </c>
      <c r="Q16" s="10">
        <f t="shared" si="0"/>
        <v>0</v>
      </c>
      <c r="R16" s="10" t="str">
        <f t="shared" si="1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58"/>
      <c r="N17"/>
      <c r="O17" s="10">
        <f t="shared" si="0"/>
        <v>0</v>
      </c>
      <c r="P17" s="10">
        <f t="shared" si="0"/>
        <v>0</v>
      </c>
      <c r="Q17" s="10">
        <f t="shared" si="0"/>
        <v>0</v>
      </c>
      <c r="R17" s="10" t="str">
        <f t="shared" si="1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0"/>
        <v>0</v>
      </c>
      <c r="P18" s="10">
        <f t="shared" si="0"/>
        <v>0</v>
      </c>
      <c r="Q18" s="10">
        <f t="shared" si="0"/>
        <v>0</v>
      </c>
      <c r="R18" s="10" t="str">
        <f t="shared" si="1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58"/>
      <c r="N19"/>
      <c r="O19" s="10">
        <f t="shared" si="0"/>
        <v>0</v>
      </c>
      <c r="P19" s="10">
        <f t="shared" si="0"/>
        <v>0</v>
      </c>
      <c r="Q19" s="10">
        <f t="shared" si="0"/>
        <v>0</v>
      </c>
      <c r="R19" s="10" t="str">
        <f t="shared" si="1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0"/>
        <v>0</v>
      </c>
      <c r="P20" s="10">
        <f t="shared" si="0"/>
        <v>0</v>
      </c>
      <c r="Q20" s="10">
        <f t="shared" si="0"/>
        <v>0</v>
      </c>
      <c r="R20" s="10" t="str">
        <f t="shared" si="1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0"/>
        <v>0</v>
      </c>
      <c r="P21" s="10">
        <f t="shared" si="0"/>
        <v>0</v>
      </c>
      <c r="Q21" s="10">
        <f t="shared" si="0"/>
        <v>0</v>
      </c>
      <c r="R21" s="10" t="str">
        <f t="shared" si="1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0"/>
        <v>0</v>
      </c>
      <c r="P22" s="10">
        <f t="shared" si="0"/>
        <v>0</v>
      </c>
      <c r="Q22" s="10">
        <f t="shared" si="0"/>
        <v>0</v>
      </c>
      <c r="R22" s="10" t="str">
        <f t="shared" si="1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0"/>
        <v>0</v>
      </c>
      <c r="P23" s="10">
        <f t="shared" si="0"/>
        <v>0</v>
      </c>
      <c r="Q23" s="10">
        <f t="shared" si="0"/>
        <v>0</v>
      </c>
      <c r="R23" s="10" t="str">
        <f t="shared" si="1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43"/>
      <c r="N24"/>
      <c r="O24" s="10">
        <f t="shared" si="0"/>
        <v>0</v>
      </c>
      <c r="P24" s="10">
        <f t="shared" si="0"/>
        <v>0</v>
      </c>
      <c r="Q24" s="10">
        <f t="shared" si="0"/>
        <v>0</v>
      </c>
      <c r="R24" s="10" t="str">
        <f t="shared" si="1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0"/>
        <v>0</v>
      </c>
      <c r="P25" s="10">
        <f t="shared" si="0"/>
        <v>0</v>
      </c>
      <c r="Q25" s="10">
        <f t="shared" si="0"/>
        <v>0</v>
      </c>
      <c r="R25" s="10" t="str">
        <f t="shared" si="1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43"/>
      <c r="N26"/>
      <c r="O26" s="10">
        <f t="shared" si="0"/>
        <v>0</v>
      </c>
      <c r="P26" s="10">
        <f t="shared" si="0"/>
        <v>0</v>
      </c>
      <c r="Q26" s="10">
        <f t="shared" si="0"/>
        <v>0</v>
      </c>
      <c r="R26" s="10" t="str">
        <f t="shared" si="1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0"/>
        <v>0</v>
      </c>
      <c r="P27" s="10">
        <f t="shared" si="0"/>
        <v>0</v>
      </c>
      <c r="Q27" s="10">
        <f t="shared" si="0"/>
        <v>0</v>
      </c>
      <c r="R27" s="10" t="str">
        <f t="shared" si="1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71"/>
      <c r="N28"/>
      <c r="O28" s="10">
        <f t="shared" si="0"/>
        <v>0</v>
      </c>
      <c r="P28" s="10">
        <f t="shared" si="0"/>
        <v>0</v>
      </c>
      <c r="Q28" s="10">
        <f t="shared" si="0"/>
        <v>0</v>
      </c>
      <c r="R28" s="10" t="str">
        <f t="shared" si="1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0"/>
        <v>0</v>
      </c>
      <c r="P29" s="10">
        <f t="shared" si="0"/>
        <v>0</v>
      </c>
      <c r="Q29" s="10">
        <f t="shared" si="0"/>
        <v>0</v>
      </c>
      <c r="R29" s="10" t="str">
        <f t="shared" si="1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0"/>
        <v>0</v>
      </c>
      <c r="Q30" s="10">
        <f t="shared" si="0"/>
        <v>0</v>
      </c>
      <c r="R30" s="10" t="str">
        <f t="shared" si="1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</row>
    <row r="33" spans="1:7" x14ac:dyDescent="0.45">
      <c r="A33" s="1" t="s">
        <v>38</v>
      </c>
      <c r="G33" s="8"/>
    </row>
    <row r="34" spans="1:7" x14ac:dyDescent="0.45">
      <c r="G34" s="8"/>
    </row>
  </sheetData>
  <mergeCells count="2">
    <mergeCell ref="A1:D1"/>
    <mergeCell ref="H1:K1"/>
  </mergeCells>
  <phoneticPr fontId="2"/>
  <conditionalFormatting sqref="E3:E32">
    <cfRule type="expression" dxfId="1" priority="1">
      <formula>$E3&lt;0</formula>
    </cfRule>
  </conditionalFormatting>
  <conditionalFormatting sqref="L3:L32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2026-01-27T02:27:44Z</dcterms:modified>
  <dc:language>ja-JP</dc:language>
</cp:coreProperties>
</file>