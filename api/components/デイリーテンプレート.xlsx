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27E83A21-D769-4B0E-80A1-4580A541495F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合計データ!$A$1:$N$14</definedName>
    <definedName name="_xlnm.Print_Titles" localSheetId="0">レポート!$1:$1</definedName>
    <definedName name="稼働率施設名">OFFSET(合計データ!$G$10, 0, 0, COUNTA(合計データ!$G$10:$G$1000), 1)</definedName>
    <definedName name="施設データ">OFFSET(合計データ!$O$10, 0, 0, COUNTA(合計データ!$A$10:$A$1000), 3)</definedName>
    <definedName name="施設稼働率">OFFSET(合計データ!$H$10, 0, 0, COUNTA(合計データ!$G$10:$G$1000), 3)</definedName>
    <definedName name="売上施設名">OFFSET(合計データ!$A$10, 0, 0, COUNTA(合計データ!$A$10:$A$1000),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1" l="1"/>
  <c r="E19" i="1"/>
  <c r="A19" i="1"/>
  <c r="A119" i="1"/>
  <c r="A17" i="1"/>
  <c r="Q11" i="2"/>
  <c r="P11" i="2"/>
  <c r="O11" i="2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<sst xmlns="http://schemas.openxmlformats.org/spreadsheetml/2006/main" count="41" uniqueCount="38">
  <si>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</si>
  <si>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</si>
  <si>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</si>
  <si>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</si>
  <si>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</si>
  <si>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</si>
  <si>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</si>
  <si>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</si>
  <si>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</si>
  <si>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</si>
  <si>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</si>
  <si>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確定泊数2</t>
  </si>
  <si>
    <t>実績稼働率</t>
    <phoneticPr fontId="3"/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</si>
  <si>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</si>
  <si>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</si>
  <si>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</si>
  <si>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</si>
  <si>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実績売上</t>
  </si>
  <si>
    <t>前年売上</t>
  </si>
  <si>
    <t>前年比差異(売上)</t>
  </si>
  <si>
    <t>前年稼働率</t>
  </si>
  <si>
    <t>前年比差異(稼働率)</t>
  </si>
  <si>
    <t>KPI</t>
  </si>
  <si>
    <t>売上差異</t>
    <phoneticPr fontId="3"/>
  </si>
  <si>
    <t>実績売上 / 前日比</t>
    <phoneticPr fontId="3"/>
  </si>
  <si>
    <t>実績売上（百万円)</t>
    <rPh sb="5" eb="8">
      <t>ヒャクマンエン</t>
    </rPh>
    <phoneticPr fontId="3"/>
  </si>
  <si>
    <t>計画売上（万円)</t>
    <rPh sb="5" eb="6">
      <t>マン</t>
    </rPh>
    <rPh sb="6" eb="7">
      <t>エン</t>
    </rPh>
    <phoneticPr fontId="3"/>
  </si>
  <si>
    <t>実績売上（万円)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</si>
  <si>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</si>
  <si>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</si>
  <si>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</si>
  <si>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</si>
  <si>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実績稼働率</t>
  </si>
  <si>
    <t>稼働率差異</t>
  </si>
  <si>
    <t>実績 ADR</t>
  </si>
  <si>
    <t>計画 ADR</t>
  </si>
  <si>
    <t>実績 RevPAR</t>
  </si>
  <si>
    <t>計画 RevPAR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</si>
</sst>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#,##0_)&quot;円&quot;;[Red]\(#,##0\)&quot;円&quot;"/>
  </numFmts>
  <fonts count="1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16"/>
      <color rgb="FF000000"/>
      <name val="Noto Sans JP"/>
      <family val="2"/>
      <charset val="128"/>
    </font>
    <font>
      <sz val="10"/>
      <color theme="3" tint="0.34998626667073579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7" fillId="0" borderId="0" xfId="1" applyFont="1" applyBorder="1"/>
    <xf numFmtId="3" fontId="5" fillId="0" borderId="0" xfId="1" applyNumberFormat="1" applyFont="1" applyBorder="1"/>
    <xf numFmtId="41" fontId="1" fillId="3" borderId="1" xfId="1" applyFill="1" applyBorder="1" applyAlignmen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177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実績売上（百万円)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合計データ!$O$11:$O$38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実績売上（万円)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合計データ!$P$11:$P$38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合計データ!$Q$11:$Q$38</c:f>
              <c:numCache>
                <c:formatCode>General</c:formatCode>
                <c:ptCount val="28"/>
                <c:pt idx="0" formatCode="_(* #,##0_);_(* \(#,##0\);_(* &quot;-&quot;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合計データ!$H$10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合計データ!$H$11:$H$38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合計データ!$I$10</c:f>
              <c:strCache>
                <c:ptCount val="1"/>
                <c:pt idx="0">
                  <c:v>実績稼働率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合計データ!$I$11:$I$38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合計データ!$J$10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合計データ!$J$11:$J$38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12700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19</xdr:row>
      <xdr:rowOff>146050</xdr:rowOff>
    </xdr:from>
    <xdr:to>
      <xdr:col>7</xdr:col>
      <xdr:colOff>721525</xdr:colOff>
      <xdr:row>36</xdr:row>
      <xdr:rowOff>183700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4" t="str">
        <f ca="1">_xlfn.CONCAT("デイリーレポート - ",TEXT(TODAY(),"yy年mm月dd日"))</f>
        <v>デイリーレポート - 25年12月27日</v>
      </c>
      <c r="B1" s="14"/>
      <c r="C1" s="14"/>
      <c r="D1" s="14"/>
      <c r="E1" s="14"/>
      <c r="F1" s="14"/>
      <c r="G1" s="14"/>
      <c r="H1" s="14"/>
    </row>
    <row r="16" spans="1:8" x14ac:dyDescent="0.5">
      <c r="A16" s="15" t="s">
        <v>28</v>
      </c>
      <c r="B16" s="15"/>
      <c r="C16" s="15"/>
      <c r="D16" s="15"/>
      <c r="E16" s="15" t="s">
        <v>29</v>
      </c>
      <c r="F16" s="15"/>
      <c r="G16" s="15"/>
      <c r="H16" s="15"/>
    </row>
    <row r="17" spans="1:8" ht="16.5" customHeight="1" x14ac:dyDescent="0.5">
      <c r="A17" s="16">
        <f>合計データ!N11</f>
        <v>0</v>
      </c>
      <c r="B17" s="16"/>
      <c r="C17" s="16"/>
      <c r="D17" s="16"/>
      <c r="E17" s="16">
        <f>合計データ!$N$13</f>
        <v>0</v>
      </c>
      <c r="F17" s="16"/>
      <c r="G17" s="16"/>
      <c r="H17" s="16"/>
    </row>
    <row r="18" spans="1:8" ht="16.5" customHeight="1" x14ac:dyDescent="0.5">
      <c r="A18" s="16"/>
      <c r="B18" s="16"/>
      <c r="C18" s="16"/>
      <c r="D18" s="16"/>
      <c r="E18" s="16"/>
      <c r="F18" s="16"/>
      <c r="G18" s="16"/>
      <c r="H18" s="16"/>
    </row>
    <row r="19" spans="1:8" x14ac:dyDescent="0.5">
      <c r="A19" s="17" t="str">
        <f>_xlfn.CONCAT("計画：",TEXT(合計データ!$N$12,"#,#"),"円　",TEXT(合計データ!$N$11-合計データ!$N$12,"#,##0_)円;[赤]-#,##0円"))</f>
        <v>計画：円　0 円</v>
      </c>
      <c r="B19" s="18"/>
      <c r="C19" s="18"/>
      <c r="D19" s="18"/>
      <c r="E19" s="17" t="str">
        <f>_xlfn.CONCAT("計画：",TEXT(合計データ!$N$14,"#,#"),"円　",TEXT(合計データ!$N$13-合計データ!$N$14,"#,##0_)円;[赤]-#,##0円"))</f>
        <v>計画：円　0 円</v>
      </c>
      <c r="F19" s="18"/>
      <c r="G19" s="18"/>
      <c r="H19" s="18"/>
    </row>
    <row r="39" spans="1:8" x14ac:dyDescent="0.5">
      <c r="A39" s="13"/>
      <c r="B39" s="13"/>
      <c r="C39" s="13"/>
      <c r="D39" s="13"/>
      <c r="E39" s="13"/>
      <c r="F39" s="13"/>
      <c r="G39" s="13"/>
      <c r="H39" s="13"/>
    </row>
    <row r="40" spans="1:8" x14ac:dyDescent="0.5">
      <c r="A40" s="13"/>
      <c r="B40" s="13"/>
      <c r="C40" s="13"/>
      <c r="D40" s="13"/>
      <c r="E40" s="13"/>
      <c r="F40" s="13"/>
      <c r="G40" s="13"/>
      <c r="H40" s="13"/>
    </row>
    <row r="41" spans="1:8" x14ac:dyDescent="0.5">
      <c r="A41" s="13"/>
      <c r="B41" s="13"/>
      <c r="C41" s="13"/>
      <c r="D41" s="13"/>
      <c r="E41" s="13"/>
      <c r="F41" s="13"/>
      <c r="G41" s="13"/>
      <c r="H41" s="13"/>
    </row>
    <row r="79" spans="1:8" x14ac:dyDescent="0.5">
      <c r="A79" s="13">
        <f>$A$39</f>
        <v>0</v>
      </c>
      <c r="B79" s="13"/>
      <c r="C79" s="13"/>
      <c r="D79" s="13"/>
      <c r="E79" s="13"/>
      <c r="F79" s="13"/>
      <c r="G79" s="13"/>
      <c r="H79" s="13"/>
    </row>
    <row r="80" spans="1:8" x14ac:dyDescent="0.5">
      <c r="A80" s="13"/>
      <c r="B80" s="13"/>
      <c r="C80" s="13"/>
      <c r="D80" s="13"/>
      <c r="E80" s="13"/>
      <c r="F80" s="13"/>
      <c r="G80" s="13"/>
      <c r="H80" s="13"/>
    </row>
    <row r="81" spans="1:8" x14ac:dyDescent="0.5">
      <c r="A81" s="13"/>
      <c r="B81" s="13"/>
      <c r="C81" s="13"/>
      <c r="D81" s="13"/>
      <c r="E81" s="13"/>
      <c r="F81" s="13"/>
      <c r="G81" s="13"/>
      <c r="H81" s="13"/>
    </row>
    <row r="119" spans="1:8" x14ac:dyDescent="0.5">
      <c r="A119" s="13">
        <f>$A$39</f>
        <v>0</v>
      </c>
      <c r="B119" s="13"/>
      <c r="C119" s="13"/>
      <c r="D119" s="13"/>
      <c r="E119" s="13"/>
      <c r="F119" s="13"/>
      <c r="G119" s="13"/>
      <c r="H119" s="13"/>
    </row>
    <row r="120" spans="1:8" x14ac:dyDescent="0.5">
      <c r="A120" s="13"/>
      <c r="B120" s="13"/>
      <c r="C120" s="13"/>
      <c r="D120" s="13"/>
      <c r="E120" s="13"/>
      <c r="F120" s="13"/>
      <c r="G120" s="13"/>
      <c r="H120" s="13"/>
    </row>
    <row r="121" spans="1:8" x14ac:dyDescent="0.5">
      <c r="A121" s="13"/>
      <c r="B121" s="13"/>
      <c r="C121" s="13"/>
      <c r="D121" s="13"/>
      <c r="E121" s="13"/>
      <c r="F121" s="13"/>
      <c r="G121" s="13"/>
      <c r="H121" s="13"/>
    </row>
  </sheetData>
  <mergeCells count="10">
    <mergeCell ref="A119:H121"/>
    <mergeCell ref="A1:H1"/>
    <mergeCell ref="A39:H41"/>
    <mergeCell ref="A79:H81"/>
    <mergeCell ref="A16:D16"/>
    <mergeCell ref="E16:H16"/>
    <mergeCell ref="E17:H18"/>
    <mergeCell ref="A17:D18"/>
    <mergeCell ref="A19:D19"/>
    <mergeCell ref="E19:H19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1" max="16383" man="1"/>
    <brk id="8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4"/>
  <sheetViews>
    <sheetView showGridLines="0" zoomScaleNormal="100" workbookViewId="0"/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24</v>
      </c>
      <c r="D1" s="9" t="s">
        <v>2</v>
      </c>
      <c r="E1" s="8" t="s">
        <v>3</v>
      </c>
      <c r="F1" s="8" t="s">
        <v>12</v>
      </c>
      <c r="G1" s="8" t="s">
        <v>4</v>
      </c>
      <c r="H1" s="9" t="s">
        <v>5</v>
      </c>
      <c r="I1" s="8" t="s">
        <v>6</v>
      </c>
      <c r="J1" s="9" t="s">
        <v>7</v>
      </c>
      <c r="K1" s="9" t="s">
        <v>11</v>
      </c>
      <c r="L1" s="9" t="s">
        <v>8</v>
      </c>
      <c r="M1" s="9" t="s">
        <v>9</v>
      </c>
      <c r="N1" s="9" t="s">
        <v>10</v>
      </c>
      <c r="O1" s="9" t="s">
        <v>13</v>
      </c>
      <c r="P1" s="9" t="s">
        <v>25</v>
      </c>
      <c r="Q1" s="9" t="s">
        <v>14</v>
      </c>
      <c r="R1" s="9" t="s">
        <v>16</v>
      </c>
      <c r="S1" s="9" t="s">
        <v>15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2">
        <f>B2/1000000</f>
        <v>0</v>
      </c>
      <c r="P2" s="12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2">
        <f t="shared" ref="O3:P7" si="0">B3/1000000</f>
        <v>0</v>
      </c>
      <c r="P3" s="12">
        <f t="shared" si="0"/>
        <v>0</v>
      </c>
      <c r="Q3" s="6" t="e">
        <f t="shared" ref="Q3:Q7" si="1">C3/B3</f>
        <v>#DIV/0!</v>
      </c>
      <c r="R3" s="6" t="e">
        <f t="shared" ref="R3:R7" si="2">F3/E3</f>
        <v>#DIV/0!</v>
      </c>
      <c r="S3" s="7">
        <f t="shared" ref="S3:S7" si="3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2">
        <f t="shared" si="0"/>
        <v>0</v>
      </c>
      <c r="P4" s="12">
        <f t="shared" si="0"/>
        <v>0</v>
      </c>
      <c r="Q4" s="6" t="e">
        <f t="shared" si="1"/>
        <v>#DIV/0!</v>
      </c>
      <c r="R4" s="6" t="e">
        <f t="shared" si="2"/>
        <v>#DIV/0!</v>
      </c>
      <c r="S4" s="7">
        <f t="shared" si="3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2">
        <f t="shared" si="0"/>
        <v>0</v>
      </c>
      <c r="P5" s="12">
        <f t="shared" si="0"/>
        <v>0</v>
      </c>
      <c r="Q5" s="6" t="e">
        <f t="shared" si="1"/>
        <v>#DIV/0!</v>
      </c>
      <c r="R5" s="6" t="e">
        <f t="shared" si="2"/>
        <v>#DIV/0!</v>
      </c>
      <c r="S5" s="7">
        <f t="shared" si="3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2">
        <f t="shared" si="0"/>
        <v>0</v>
      </c>
      <c r="P6" s="12">
        <f t="shared" si="0"/>
        <v>0</v>
      </c>
      <c r="Q6" s="6" t="e">
        <f t="shared" si="1"/>
        <v>#DIV/0!</v>
      </c>
      <c r="R6" s="6" t="e">
        <f t="shared" si="2"/>
        <v>#DIV/0!</v>
      </c>
      <c r="S6" s="7">
        <f t="shared" si="3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2">
        <f t="shared" si="0"/>
        <v>0</v>
      </c>
      <c r="P7" s="12">
        <f t="shared" si="0"/>
        <v>0</v>
      </c>
      <c r="Q7" s="6" t="e">
        <f t="shared" si="1"/>
        <v>#DIV/0!</v>
      </c>
      <c r="R7" s="6" t="e">
        <f t="shared" si="2"/>
        <v>#DIV/0!</v>
      </c>
      <c r="S7" s="7">
        <f t="shared" si="3"/>
        <v>0</v>
      </c>
    </row>
    <row r="10" spans="1:19" x14ac:dyDescent="0.5">
      <c r="A10" t="s">
        <v>30</v>
      </c>
      <c r="B10" t="s">
        <v>1</v>
      </c>
      <c r="C10" t="s">
        <v>17</v>
      </c>
      <c r="D10" t="s">
        <v>31</v>
      </c>
      <c r="E10" t="s">
        <v>18</v>
      </c>
      <c r="F10" t="s">
        <v>19</v>
      </c>
      <c r="G10" t="s">
        <v>30</v>
      </c>
      <c r="H10" t="s">
        <v>3</v>
      </c>
      <c r="I10" t="s">
        <v>32</v>
      </c>
      <c r="J10" t="s">
        <v>33</v>
      </c>
      <c r="K10" t="s">
        <v>20</v>
      </c>
      <c r="L10" t="s">
        <v>21</v>
      </c>
      <c r="M10" s="10" t="s">
        <v>22</v>
      </c>
      <c r="O10" s="9" t="s">
        <v>26</v>
      </c>
      <c r="P10" s="9" t="s">
        <v>27</v>
      </c>
      <c r="Q10" s="9" t="s">
        <v>23</v>
      </c>
    </row>
    <row r="11" spans="1:19" x14ac:dyDescent="0.5">
      <c r="A11"/>
      <c r="B11"/>
      <c r="C11"/>
      <c r="D11"/>
      <c r="E11"/>
      <c r="F11"/>
      <c r="G11"/>
      <c r="H11"/>
      <c r="I11"/>
      <c r="J11"/>
      <c r="K11"/>
      <c r="L11"/>
      <c r="M11" s="2" t="s">
        <v>34</v>
      </c>
      <c r="N11" s="11"/>
      <c r="O11" s="12">
        <f>B11/10000</f>
        <v>0</v>
      </c>
      <c r="P11" s="12">
        <f>C11/10000</f>
        <v>0</v>
      </c>
      <c r="Q11" s="12">
        <f>D11/10000</f>
        <v>0</v>
      </c>
    </row>
    <row r="12" spans="1:19" x14ac:dyDescent="0.5">
      <c r="M12" s="2" t="s">
        <v>35</v>
      </c>
    </row>
    <row r="13" spans="1:19" x14ac:dyDescent="0.5">
      <c r="M13" s="2" t="s">
        <v>36</v>
      </c>
    </row>
    <row r="14" spans="1:19" x14ac:dyDescent="0.5">
      <c r="M14" s="2" t="s">
        <v>37</v>
      </c>
    </row>
  </sheetData>
  <phoneticPr fontId="3"/>
  <pageMargins left="0.25" right="0.25" top="0.75" bottom="0.75" header="0.3" footer="0.3"/>
  <pageSetup paperSize="9" scale="74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2025-12-27T05:53:44Z</dcterms:modified>
  <dc:language>ja-JP</dc:language>
</cp:coreProperties>
</file>