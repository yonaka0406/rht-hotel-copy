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lmeida.ped_redhorse\Documents\GitHub\rht-hotel\api\components\"/>
    </mc:Choice>
  </mc:AlternateContent>
  <xr:revisionPtr revIDLastSave="0" documentId="13_ncr:1_{BA866E93-B648-42E5-8070-FCE88BDEC6D7}" xr6:coauthVersionLast="47" xr6:coauthVersionMax="47" xr10:uidLastSave="{00000000-0000-0000-0000-000000000000}"/>
  <bookViews>
    <workbookView xWindow="-38510" yWindow="-1670" windowWidth="38620" windowHeight="21100" tabRatio="500" xr2:uid="{00000000-000D-0000-FFFF-FFFF00000000}"/>
  </bookViews>
  <sheets>
    <sheet name="レポート" sheetId="1" r:id="rId1"/>
    <sheet name="合計データ" sheetId="2" r:id="rId2"/>
  </sheets>
  <definedNames>
    <definedName name="_xlnm.Print_Area" localSheetId="1">合計データ!$A$1:$N$11</definedName>
    <definedName name="_xlnm.Print_Titles" localSheetId="0">レポート!$1:$1</definedName>
    <definedName name="稼働率施設名">OFFSET(合計データ!$G$10, 0, 0, COUNTA(合計データ!$G$10:$G$1000), 1)</definedName>
    <definedName name="施設データ">OFFSET(合計データ!$O$10, 0, 0, COUNTA(合計データ!$A$10:$A$1000), 3)</definedName>
    <definedName name="施設稼働率">OFFSET(合計データ!$H$10, 0, 0, COUNTA(合計データ!$G$10:$G$1000), 3)</definedName>
    <definedName name="売上施設名">OFFSET(合計データ!$A$10, 0, 0, COUNTA(合計データ!$A$10:$A$1000),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1" l="1"/>
  <c r="E19" i="1"/>
  <c r="A19" i="1"/>
  <c r="A119" i="1"/>
  <c r="A17" i="1"/>
  <c r="Q11" i="2"/>
  <c r="P11" i="2"/>
  <c r="O11" i="2"/>
  <c r="S7" i="2"/>
  <c r="R7" i="2"/>
  <c r="Q7" i="2"/>
  <c r="P7" i="2"/>
  <c r="O7" i="2"/>
  <c r="S6" i="2"/>
  <c r="R6" i="2"/>
  <c r="Q6" i="2"/>
  <c r="P6" i="2"/>
  <c r="O6" i="2"/>
  <c r="S5" i="2"/>
  <c r="R5" i="2"/>
  <c r="Q5" i="2"/>
  <c r="P5" i="2"/>
  <c r="O5" i="2"/>
  <c r="S4" i="2"/>
  <c r="R4" i="2"/>
  <c r="Q4" i="2"/>
  <c r="P4" i="2"/>
  <c r="O4" i="2"/>
  <c r="S3" i="2"/>
  <c r="R3" i="2"/>
  <c r="Q3" i="2"/>
  <c r="P3" i="2"/>
  <c r="O3" i="2"/>
  <c r="S2" i="2"/>
  <c r="R2" i="2"/>
  <c r="Q2" i="2"/>
  <c r="P2" i="2"/>
  <c r="O2" i="2"/>
  <c r="A79" i="1"/>
  <c r="A1" i="1"/>
</calcChain>
</file>

<file path=xl/sharedStrings.xml><?xml version="1.0" encoding="utf-8"?>
<sst xmlns="http://schemas.openxmlformats.org/spreadsheetml/2006/main" count="41" uniqueCount="38">
  <si>
    <t>月度</t>
  </si>
  <si>
    <t>計画売上</t>
  </si>
  <si>
    <t>確定泊数</t>
  </si>
  <si>
    <t>計画稼働率</t>
  </si>
  <si>
    <t>前日集計日</t>
  </si>
  <si>
    <t>前日実績売上</t>
  </si>
  <si>
    <t>前日実績稼働率</t>
  </si>
  <si>
    <t>前日確定泊数</t>
  </si>
  <si>
    <t>販売可能室数</t>
  </si>
  <si>
    <t>ブロック数</t>
  </si>
  <si>
    <t>正味販売可能室数</t>
  </si>
  <si>
    <t>確定泊数2</t>
  </si>
  <si>
    <t>実績稼働率</t>
    <phoneticPr fontId="3"/>
  </si>
  <si>
    <t>計画売上（百万円)</t>
    <rPh sb="5" eb="8">
      <t>ヒャクマンエン</t>
    </rPh>
    <phoneticPr fontId="3"/>
  </si>
  <si>
    <t>売上　達成率</t>
    <rPh sb="0" eb="2">
      <t>ウリアゲ</t>
    </rPh>
    <rPh sb="3" eb="6">
      <t>タッセイリツ</t>
    </rPh>
    <phoneticPr fontId="3"/>
  </si>
  <si>
    <t>稼働率　前日対比</t>
    <rPh sb="0" eb="3">
      <t>カドウリツ</t>
    </rPh>
    <rPh sb="4" eb="8">
      <t>ゼンジツタイヒ</t>
    </rPh>
    <phoneticPr fontId="3"/>
  </si>
  <si>
    <t>稼働率　達成率</t>
    <rPh sb="0" eb="3">
      <t>カドウリツ</t>
    </rPh>
    <rPh sb="4" eb="7">
      <t>タッセイリツ</t>
    </rPh>
    <phoneticPr fontId="3"/>
  </si>
  <si>
    <t>実績売上</t>
  </si>
  <si>
    <t>前年売上</t>
  </si>
  <si>
    <t>前年比差異(売上)</t>
  </si>
  <si>
    <t>前年稼働率</t>
  </si>
  <si>
    <t>前年比差異(稼働率)</t>
  </si>
  <si>
    <t>KPI</t>
  </si>
  <si>
    <t>売上差異</t>
    <phoneticPr fontId="3"/>
  </si>
  <si>
    <t>実績売上 / 前日比</t>
    <phoneticPr fontId="3"/>
  </si>
  <si>
    <t>実績売上（百万円)</t>
    <rPh sb="5" eb="8">
      <t>ヒャクマンエン</t>
    </rPh>
    <phoneticPr fontId="3"/>
  </si>
  <si>
    <t>計画売上（万円)</t>
    <rPh sb="5" eb="6">
      <t>マン</t>
    </rPh>
    <rPh sb="6" eb="7">
      <t>エン</t>
    </rPh>
    <phoneticPr fontId="3"/>
  </si>
  <si>
    <t>実績売上（万円)</t>
    <rPh sb="5" eb="6">
      <t>マン</t>
    </rPh>
    <rPh sb="6" eb="7">
      <t>エン</t>
    </rPh>
    <phoneticPr fontId="3"/>
  </si>
  <si>
    <t>ADR</t>
    <phoneticPr fontId="3"/>
  </si>
  <si>
    <t>RevPAR</t>
    <phoneticPr fontId="3"/>
  </si>
  <si>
    <t>施設名</t>
  </si>
  <si>
    <t>売上差異</t>
  </si>
  <si>
    <t>実績稼働率</t>
  </si>
  <si>
    <t>稼働率差異</t>
  </si>
  <si>
    <t>実績 ADR</t>
  </si>
  <si>
    <t>計画 ADR</t>
  </si>
  <si>
    <t>実績 RevPAR</t>
  </si>
  <si>
    <t>計画 RevPAR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</si>
</sst>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0.0%"/>
    <numFmt numFmtId="177" formatCode="#,##0_)&quot;円&quot;;[Red]\(#,##0\)&quot;円&quot;"/>
  </numFmts>
  <fonts count="11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b/>
      <sz val="16"/>
      <color rgb="FF000000"/>
      <name val="Noto Sans JP"/>
      <family val="2"/>
      <charset val="128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16"/>
      <color rgb="FF000000"/>
      <name val="Noto Sans JP"/>
      <family val="2"/>
      <charset val="128"/>
    </font>
    <font>
      <sz val="10"/>
      <color theme="3" tint="0.34998626667073579"/>
      <name val="Noto Sans JP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3">
    <xf numFmtId="0" fontId="0" fillId="0" borderId="0"/>
    <xf numFmtId="41" fontId="1" fillId="0" borderId="0" applyBorder="0" applyAlignment="0" applyProtection="0"/>
    <xf numFmtId="9" fontId="8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4" fillId="0" borderId="0" xfId="0" applyFont="1"/>
    <xf numFmtId="41" fontId="5" fillId="0" borderId="0" xfId="1" applyFont="1"/>
    <xf numFmtId="0" fontId="4" fillId="0" borderId="1" xfId="0" applyFont="1" applyBorder="1"/>
    <xf numFmtId="41" fontId="5" fillId="0" borderId="1" xfId="1" applyFont="1" applyBorder="1"/>
    <xf numFmtId="176" fontId="4" fillId="0" borderId="1" xfId="0" applyNumberFormat="1" applyFont="1" applyBorder="1"/>
    <xf numFmtId="9" fontId="4" fillId="2" borderId="1" xfId="2" applyFont="1" applyFill="1" applyBorder="1" applyAlignment="1"/>
    <xf numFmtId="176" fontId="1" fillId="2" borderId="1" xfId="1" applyNumberFormat="1" applyFill="1" applyBorder="1"/>
    <xf numFmtId="0" fontId="6" fillId="0" borderId="1" xfId="0" applyFont="1" applyBorder="1"/>
    <xf numFmtId="41" fontId="7" fillId="0" borderId="1" xfId="1" applyFont="1" applyBorder="1"/>
    <xf numFmtId="41" fontId="7" fillId="0" borderId="0" xfId="1" applyFont="1" applyBorder="1"/>
    <xf numFmtId="3" fontId="5" fillId="0" borderId="0" xfId="1" applyNumberFormat="1" applyFont="1" applyBorder="1"/>
    <xf numFmtId="41" fontId="1" fillId="3" borderId="1" xfId="1" applyFill="1" applyBorder="1" applyAlignment="1"/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6" fillId="2" borderId="0" xfId="0" applyFont="1" applyFill="1" applyAlignment="1">
      <alignment horizontal="center"/>
    </xf>
    <xf numFmtId="177" fontId="9" fillId="0" borderId="0" xfId="0" applyNumberFormat="1" applyFont="1" applyAlignment="1">
      <alignment horizontal="center" vertical="center"/>
    </xf>
    <xf numFmtId="3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</cellXfs>
  <cellStyles count="3">
    <cellStyle name="パーセント" xfId="2" builtinId="5"/>
    <cellStyle name="桁区切り" xfId="1" builtinId="6"/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計画ｘ実績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実績売上（百万円)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65000"/>
                    <a:lumMod val="110000"/>
                    <a:tint val="67000"/>
                  </a:schemeClr>
                </a:gs>
                <a:gs pos="50000">
                  <a:schemeClr val="accent1">
                    <a:tint val="65000"/>
                    <a:lumMod val="105000"/>
                    <a:tint val="73000"/>
                  </a:schemeClr>
                </a:gs>
                <a:gs pos="100000">
                  <a:schemeClr val="accent1">
                    <a:tint val="65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65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2"/>
          <c:tx>
            <c:strRef>
              <c:f>合計データ!$Q$1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計画ｘ実績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0.13476111111111111"/>
          <c:w val="0.95565079365079364"/>
          <c:h val="0.6714597222222220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実績稼働率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合計データ!$I$1</c:f>
              <c:strCache>
                <c:ptCount val="1"/>
                <c:pt idx="0">
                  <c:v>前日実績稼働率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合計データ!$I$2:$I$7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合計データ!$S$1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合計データ!$R$1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売上　計画ｘ実績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合計データ!$O$11:$O$38</c:f>
              <c:numCache>
                <c:formatCode>_(* #,##0_);_(* \(#,##0\);_(* "-"_);_(@_)</c:formatCode>
                <c:ptCount val="28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実績売上（万円)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合計データ!$P$11:$P$38</c:f>
              <c:numCache>
                <c:formatCode>_(* #,##0_);_(* \(#,##0\);_(* "-"_);_(@_)</c:formatCode>
                <c:ptCount val="28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2"/>
          <c:order val="2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合計データ!$Q$11:$Q$38</c:f>
              <c:numCache>
                <c:formatCode>General</c:formatCode>
                <c:ptCount val="28"/>
                <c:pt idx="0" formatCode="_(* #,##0_);_(* \(#,##0\);_(* &quot;-&quot;_);_(@_)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稼働率</a:t>
            </a:r>
            <a:r>
              <a:rPr lang="ja-JP"/>
              <a:t>　計画ｘ実績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合計データ!$H$10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合計データ!$H$11:$H$38</c:f>
              <c:numCache>
                <c:formatCode>_(* #,##0_);_(* \(#,##0\);_(* "-"_);_(@_)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1"/>
          <c:order val="1"/>
          <c:tx>
            <c:strRef>
              <c:f>合計データ!$I$10</c:f>
              <c:strCache>
                <c:ptCount val="1"/>
                <c:pt idx="0">
                  <c:v>実績稼働率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合計データ!$I$11:$I$38</c:f>
              <c:numCache>
                <c:formatCode>General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2"/>
          <c:order val="2"/>
          <c:tx>
            <c:strRef>
              <c:f>合計データ!$J$10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合計データ!$J$11:$J$38</c:f>
              <c:numCache>
                <c:formatCode>_(* #,##0_);_(* \(#,##0\);_(* "-"_);_(@_)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12700</xdr:rowOff>
    </xdr:from>
    <xdr:to>
      <xdr:col>7</xdr:col>
      <xdr:colOff>721525</xdr:colOff>
      <xdr:row>14</xdr:row>
      <xdr:rowOff>168550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19</xdr:row>
      <xdr:rowOff>146050</xdr:rowOff>
    </xdr:from>
    <xdr:to>
      <xdr:col>7</xdr:col>
      <xdr:colOff>721525</xdr:colOff>
      <xdr:row>36</xdr:row>
      <xdr:rowOff>183700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66675</xdr:colOff>
      <xdr:row>42</xdr:row>
      <xdr:rowOff>0</xdr:rowOff>
    </xdr:from>
    <xdr:to>
      <xdr:col>7</xdr:col>
      <xdr:colOff>721525</xdr:colOff>
      <xdr:row>77</xdr:row>
      <xdr:rowOff>139700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81</xdr:row>
      <xdr:rowOff>63500</xdr:rowOff>
    </xdr:from>
    <xdr:to>
      <xdr:col>7</xdr:col>
      <xdr:colOff>721525</xdr:colOff>
      <xdr:row>116</xdr:row>
      <xdr:rowOff>203200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21"/>
  <sheetViews>
    <sheetView showGridLines="0" tabSelected="1" view="pageLayout" zoomScaleNormal="100" workbookViewId="0">
      <selection sqref="A1:H1"/>
    </sheetView>
  </sheetViews>
  <sheetFormatPr defaultColWidth="11.54296875" defaultRowHeight="16.5" x14ac:dyDescent="0.5"/>
  <sheetData>
    <row r="1" spans="1:8" ht="30" customHeight="1" x14ac:dyDescent="0.75">
      <c r="A1" s="14" t="str">
        <f ca="1">_xlfn.CONCAT("デイリーレポート - ",TEXT(TODAY(),"yy年mm月dd日"))</f>
        <v>デイリーレポート - 25年12月27日</v>
      </c>
      <c r="B1" s="14"/>
      <c r="C1" s="14"/>
      <c r="D1" s="14"/>
      <c r="E1" s="14"/>
      <c r="F1" s="14"/>
      <c r="G1" s="14"/>
      <c r="H1" s="14"/>
    </row>
    <row r="16" spans="1:8" x14ac:dyDescent="0.5">
      <c r="A16" s="15" t="s">
        <v>28</v>
      </c>
      <c r="B16" s="15"/>
      <c r="C16" s="15"/>
      <c r="D16" s="15"/>
      <c r="E16" s="15" t="s">
        <v>29</v>
      </c>
      <c r="F16" s="15"/>
      <c r="G16" s="15"/>
      <c r="H16" s="15"/>
    </row>
    <row r="17" spans="1:8" ht="16.5" customHeight="1" x14ac:dyDescent="0.5">
      <c r="A17" s="16">
        <f>合計データ!N11</f>
        <v>0</v>
      </c>
      <c r="B17" s="16"/>
      <c r="C17" s="16"/>
      <c r="D17" s="16"/>
      <c r="E17" s="16">
        <f>合計データ!$N$13</f>
        <v>0</v>
      </c>
      <c r="F17" s="16"/>
      <c r="G17" s="16"/>
      <c r="H17" s="16"/>
    </row>
    <row r="18" spans="1:8" ht="16.5" customHeight="1" x14ac:dyDescent="0.5">
      <c r="A18" s="16"/>
      <c r="B18" s="16"/>
      <c r="C18" s="16"/>
      <c r="D18" s="16"/>
      <c r="E18" s="16"/>
      <c r="F18" s="16"/>
      <c r="G18" s="16"/>
      <c r="H18" s="16"/>
    </row>
    <row r="19" spans="1:8" x14ac:dyDescent="0.5">
      <c r="A19" s="17" t="str">
        <f>_xlfn.CONCAT("計画：",TEXT(合計データ!$N$12,"#,#"),"円　",TEXT(合計データ!$N$11-合計データ!$N$12,"#,##0_)円;[赤]-#,##0円"))</f>
        <v>計画：円　0 円</v>
      </c>
      <c r="B19" s="18"/>
      <c r="C19" s="18"/>
      <c r="D19" s="18"/>
      <c r="E19" s="17" t="str">
        <f>_xlfn.CONCAT("計画：",TEXT(合計データ!$N$14,"#,#"),"円　",TEXT(合計データ!$N$13-合計データ!$N$14,"#,##0_)円;[赤]-#,##0円"))</f>
        <v>計画：円　0 円</v>
      </c>
      <c r="F19" s="18"/>
      <c r="G19" s="18"/>
      <c r="H19" s="18"/>
    </row>
    <row r="39" spans="1:8" x14ac:dyDescent="0.5">
      <c r="A39" s="13"/>
      <c r="B39" s="13"/>
      <c r="C39" s="13"/>
      <c r="D39" s="13"/>
      <c r="E39" s="13"/>
      <c r="F39" s="13"/>
      <c r="G39" s="13"/>
      <c r="H39" s="13"/>
    </row>
    <row r="40" spans="1:8" x14ac:dyDescent="0.5">
      <c r="A40" s="13"/>
      <c r="B40" s="13"/>
      <c r="C40" s="13"/>
      <c r="D40" s="13"/>
      <c r="E40" s="13"/>
      <c r="F40" s="13"/>
      <c r="G40" s="13"/>
      <c r="H40" s="13"/>
    </row>
    <row r="41" spans="1:8" x14ac:dyDescent="0.5">
      <c r="A41" s="13"/>
      <c r="B41" s="13"/>
      <c r="C41" s="13"/>
      <c r="D41" s="13"/>
      <c r="E41" s="13"/>
      <c r="F41" s="13"/>
      <c r="G41" s="13"/>
      <c r="H41" s="13"/>
    </row>
    <row r="79" spans="1:8" x14ac:dyDescent="0.5">
      <c r="A79" s="13">
        <f>$A$39</f>
        <v>0</v>
      </c>
      <c r="B79" s="13"/>
      <c r="C79" s="13"/>
      <c r="D79" s="13"/>
      <c r="E79" s="13"/>
      <c r="F79" s="13"/>
      <c r="G79" s="13"/>
      <c r="H79" s="13"/>
    </row>
    <row r="80" spans="1:8" x14ac:dyDescent="0.5">
      <c r="A80" s="13"/>
      <c r="B80" s="13"/>
      <c r="C80" s="13"/>
      <c r="D80" s="13"/>
      <c r="E80" s="13"/>
      <c r="F80" s="13"/>
      <c r="G80" s="13"/>
      <c r="H80" s="13"/>
    </row>
    <row r="81" spans="1:8" x14ac:dyDescent="0.5">
      <c r="A81" s="13"/>
      <c r="B81" s="13"/>
      <c r="C81" s="13"/>
      <c r="D81" s="13"/>
      <c r="E81" s="13"/>
      <c r="F81" s="13"/>
      <c r="G81" s="13"/>
      <c r="H81" s="13"/>
    </row>
    <row r="119" spans="1:8" x14ac:dyDescent="0.5">
      <c r="A119" s="13">
        <f>$A$39</f>
        <v>0</v>
      </c>
      <c r="B119" s="13"/>
      <c r="C119" s="13"/>
      <c r="D119" s="13"/>
      <c r="E119" s="13"/>
      <c r="F119" s="13"/>
      <c r="G119" s="13"/>
      <c r="H119" s="13"/>
    </row>
    <row r="120" spans="1:8" x14ac:dyDescent="0.5">
      <c r="A120" s="13"/>
      <c r="B120" s="13"/>
      <c r="C120" s="13"/>
      <c r="D120" s="13"/>
      <c r="E120" s="13"/>
      <c r="F120" s="13"/>
      <c r="G120" s="13"/>
      <c r="H120" s="13"/>
    </row>
    <row r="121" spans="1:8" x14ac:dyDescent="0.5">
      <c r="A121" s="13"/>
      <c r="B121" s="13"/>
      <c r="C121" s="13"/>
      <c r="D121" s="13"/>
      <c r="E121" s="13"/>
      <c r="F121" s="13"/>
      <c r="G121" s="13"/>
      <c r="H121" s="13"/>
    </row>
  </sheetData>
  <mergeCells count="10">
    <mergeCell ref="A119:H121"/>
    <mergeCell ref="A1:H1"/>
    <mergeCell ref="A39:H41"/>
    <mergeCell ref="A79:H81"/>
    <mergeCell ref="A16:D16"/>
    <mergeCell ref="E16:H16"/>
    <mergeCell ref="E17:H18"/>
    <mergeCell ref="A17:D18"/>
    <mergeCell ref="A19:D19"/>
    <mergeCell ref="E19:H19"/>
  </mergeCells>
  <phoneticPr fontId="3"/>
  <pageMargins left="0.78740157480314965" right="0.78740157480314965" top="1.0629921259842521" bottom="1.0629921259842521" header="0.78740157480314965" footer="0.78740157480314965"/>
  <pageSetup paperSize="9" scale="94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2" manualBreakCount="2">
    <brk id="41" max="16383" man="1"/>
    <brk id="81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14"/>
  <sheetViews>
    <sheetView showGridLines="0" zoomScaleNormal="100" workbookViewId="0"/>
  </sheetViews>
  <sheetFormatPr defaultColWidth="11.54296875" defaultRowHeight="16.5" x14ac:dyDescent="0.5"/>
  <cols>
    <col min="1" max="1" width="11.6328125" style="1" bestFit="1" customWidth="1"/>
    <col min="2" max="2" width="12.26953125" style="2" bestFit="1" customWidth="1"/>
    <col min="3" max="3" width="17.08984375" style="2" bestFit="1" customWidth="1"/>
    <col min="4" max="4" width="11" style="2" customWidth="1"/>
    <col min="5" max="5" width="10.36328125" style="1" bestFit="1" customWidth="1"/>
    <col min="6" max="6" width="17" style="1" customWidth="1"/>
    <col min="7" max="7" width="11.6328125" style="1" bestFit="1" customWidth="1"/>
    <col min="8" max="8" width="13.36328125" style="2" bestFit="1" customWidth="1"/>
    <col min="9" max="9" width="14.36328125" style="1" bestFit="1" customWidth="1"/>
    <col min="10" max="10" width="13.36328125" style="2" bestFit="1" customWidth="1"/>
    <col min="11" max="11" width="12.81640625" style="2" customWidth="1"/>
    <col min="12" max="12" width="19.7265625" style="2" customWidth="1"/>
    <col min="13" max="13" width="12.6328125" style="2" bestFit="1" customWidth="1"/>
    <col min="14" max="14" width="17.26953125" style="2" bestFit="1" customWidth="1"/>
    <col min="15" max="16" width="17.26953125" style="2" customWidth="1"/>
    <col min="17" max="17" width="20.81640625" style="1" bestFit="1" customWidth="1"/>
    <col min="18" max="18" width="22.7265625" style="1" bestFit="1" customWidth="1"/>
    <col min="19" max="19" width="18.08984375" style="1" bestFit="1" customWidth="1"/>
    <col min="20" max="16384" width="11.54296875" style="1"/>
  </cols>
  <sheetData>
    <row r="1" spans="1:19" x14ac:dyDescent="0.5">
      <c r="A1" s="8" t="s">
        <v>0</v>
      </c>
      <c r="B1" s="9" t="s">
        <v>1</v>
      </c>
      <c r="C1" s="9" t="s">
        <v>24</v>
      </c>
      <c r="D1" s="9" t="s">
        <v>2</v>
      </c>
      <c r="E1" s="8" t="s">
        <v>3</v>
      </c>
      <c r="F1" s="8" t="s">
        <v>12</v>
      </c>
      <c r="G1" s="8" t="s">
        <v>4</v>
      </c>
      <c r="H1" s="9" t="s">
        <v>5</v>
      </c>
      <c r="I1" s="8" t="s">
        <v>6</v>
      </c>
      <c r="J1" s="9" t="s">
        <v>7</v>
      </c>
      <c r="K1" s="9" t="s">
        <v>11</v>
      </c>
      <c r="L1" s="9" t="s">
        <v>8</v>
      </c>
      <c r="M1" s="9" t="s">
        <v>9</v>
      </c>
      <c r="N1" s="9" t="s">
        <v>10</v>
      </c>
      <c r="O1" s="9" t="s">
        <v>13</v>
      </c>
      <c r="P1" s="9" t="s">
        <v>25</v>
      </c>
      <c r="Q1" s="9" t="s">
        <v>14</v>
      </c>
      <c r="R1" s="9" t="s">
        <v>16</v>
      </c>
      <c r="S1" s="9" t="s">
        <v>15</v>
      </c>
    </row>
    <row r="2" spans="1:19" x14ac:dyDescent="0.5">
      <c r="A2" s="3"/>
      <c r="B2" s="4"/>
      <c r="C2" s="4"/>
      <c r="D2" s="4"/>
      <c r="E2" s="5"/>
      <c r="F2" s="5"/>
      <c r="G2" s="3"/>
      <c r="H2" s="4"/>
      <c r="I2" s="5"/>
      <c r="J2" s="4"/>
      <c r="K2" s="4"/>
      <c r="L2" s="4"/>
      <c r="M2" s="4"/>
      <c r="N2" s="4"/>
      <c r="O2" s="12">
        <f>B2/1000000</f>
        <v>0</v>
      </c>
      <c r="P2" s="12">
        <f>C2/1000000</f>
        <v>0</v>
      </c>
      <c r="Q2" s="6" t="e">
        <f>C2/B2</f>
        <v>#DIV/0!</v>
      </c>
      <c r="R2" s="6" t="e">
        <f>F2/E2</f>
        <v>#DIV/0!</v>
      </c>
      <c r="S2" s="7">
        <f>F2-I2</f>
        <v>0</v>
      </c>
    </row>
    <row r="3" spans="1:19" x14ac:dyDescent="0.5">
      <c r="A3" s="3"/>
      <c r="B3" s="4"/>
      <c r="C3" s="4"/>
      <c r="D3" s="4"/>
      <c r="E3" s="5"/>
      <c r="F3" s="5"/>
      <c r="G3" s="3"/>
      <c r="H3" s="4"/>
      <c r="I3" s="5"/>
      <c r="J3" s="4"/>
      <c r="K3" s="4"/>
      <c r="L3" s="4"/>
      <c r="M3" s="4"/>
      <c r="N3" s="4"/>
      <c r="O3" s="12">
        <f t="shared" ref="O3:P7" si="0">B3/1000000</f>
        <v>0</v>
      </c>
      <c r="P3" s="12">
        <f t="shared" si="0"/>
        <v>0</v>
      </c>
      <c r="Q3" s="6" t="e">
        <f t="shared" ref="Q3:Q7" si="1">C3/B3</f>
        <v>#DIV/0!</v>
      </c>
      <c r="R3" s="6" t="e">
        <f t="shared" ref="R3:R7" si="2">F3/E3</f>
        <v>#DIV/0!</v>
      </c>
      <c r="S3" s="7">
        <f t="shared" ref="S3:S7" si="3">F3-I3</f>
        <v>0</v>
      </c>
    </row>
    <row r="4" spans="1:19" x14ac:dyDescent="0.5">
      <c r="A4" s="3"/>
      <c r="B4" s="4"/>
      <c r="C4" s="4"/>
      <c r="D4" s="4"/>
      <c r="E4" s="5"/>
      <c r="F4" s="5"/>
      <c r="G4" s="3"/>
      <c r="H4" s="4"/>
      <c r="I4" s="5"/>
      <c r="J4" s="4"/>
      <c r="K4" s="4"/>
      <c r="L4" s="4"/>
      <c r="M4" s="4"/>
      <c r="N4" s="4"/>
      <c r="O4" s="12">
        <f t="shared" si="0"/>
        <v>0</v>
      </c>
      <c r="P4" s="12">
        <f t="shared" si="0"/>
        <v>0</v>
      </c>
      <c r="Q4" s="6" t="e">
        <f t="shared" si="1"/>
        <v>#DIV/0!</v>
      </c>
      <c r="R4" s="6" t="e">
        <f t="shared" si="2"/>
        <v>#DIV/0!</v>
      </c>
      <c r="S4" s="7">
        <f t="shared" si="3"/>
        <v>0</v>
      </c>
    </row>
    <row r="5" spans="1:19" x14ac:dyDescent="0.5">
      <c r="A5" s="3"/>
      <c r="B5" s="4"/>
      <c r="C5" s="4"/>
      <c r="D5" s="4"/>
      <c r="E5" s="5"/>
      <c r="F5" s="5"/>
      <c r="G5" s="3"/>
      <c r="H5" s="4"/>
      <c r="I5" s="5"/>
      <c r="J5" s="4"/>
      <c r="K5" s="4"/>
      <c r="L5" s="4"/>
      <c r="M5" s="4"/>
      <c r="N5" s="4"/>
      <c r="O5" s="12">
        <f t="shared" si="0"/>
        <v>0</v>
      </c>
      <c r="P5" s="12">
        <f t="shared" si="0"/>
        <v>0</v>
      </c>
      <c r="Q5" s="6" t="e">
        <f t="shared" si="1"/>
        <v>#DIV/0!</v>
      </c>
      <c r="R5" s="6" t="e">
        <f t="shared" si="2"/>
        <v>#DIV/0!</v>
      </c>
      <c r="S5" s="7">
        <f t="shared" si="3"/>
        <v>0</v>
      </c>
    </row>
    <row r="6" spans="1:19" x14ac:dyDescent="0.5">
      <c r="A6" s="3"/>
      <c r="B6" s="4"/>
      <c r="C6" s="4"/>
      <c r="D6" s="4"/>
      <c r="E6" s="5"/>
      <c r="F6" s="5"/>
      <c r="G6" s="3"/>
      <c r="H6" s="4"/>
      <c r="I6" s="5"/>
      <c r="J6" s="4"/>
      <c r="K6" s="4"/>
      <c r="L6" s="4"/>
      <c r="M6" s="4"/>
      <c r="N6" s="4"/>
      <c r="O6" s="12">
        <f t="shared" si="0"/>
        <v>0</v>
      </c>
      <c r="P6" s="12">
        <f t="shared" si="0"/>
        <v>0</v>
      </c>
      <c r="Q6" s="6" t="e">
        <f t="shared" si="1"/>
        <v>#DIV/0!</v>
      </c>
      <c r="R6" s="6" t="e">
        <f t="shared" si="2"/>
        <v>#DIV/0!</v>
      </c>
      <c r="S6" s="7">
        <f t="shared" si="3"/>
        <v>0</v>
      </c>
    </row>
    <row r="7" spans="1:19" x14ac:dyDescent="0.5">
      <c r="A7" s="3"/>
      <c r="B7" s="4"/>
      <c r="C7" s="4"/>
      <c r="D7" s="4"/>
      <c r="E7" s="5"/>
      <c r="F7" s="5"/>
      <c r="G7" s="3"/>
      <c r="H7" s="4"/>
      <c r="I7" s="5"/>
      <c r="J7" s="4"/>
      <c r="K7" s="4"/>
      <c r="L7" s="4"/>
      <c r="M7" s="4"/>
      <c r="N7" s="4"/>
      <c r="O7" s="12">
        <f t="shared" si="0"/>
        <v>0</v>
      </c>
      <c r="P7" s="12">
        <f t="shared" si="0"/>
        <v>0</v>
      </c>
      <c r="Q7" s="6" t="e">
        <f t="shared" si="1"/>
        <v>#DIV/0!</v>
      </c>
      <c r="R7" s="6" t="e">
        <f t="shared" si="2"/>
        <v>#DIV/0!</v>
      </c>
      <c r="S7" s="7">
        <f t="shared" si="3"/>
        <v>0</v>
      </c>
    </row>
    <row r="10" spans="1:19" x14ac:dyDescent="0.5">
      <c r="A10" t="s">
        <v>30</v>
      </c>
      <c r="B10" t="s">
        <v>1</v>
      </c>
      <c r="C10" t="s">
        <v>17</v>
      </c>
      <c r="D10" t="s">
        <v>31</v>
      </c>
      <c r="E10" t="s">
        <v>18</v>
      </c>
      <c r="F10" t="s">
        <v>19</v>
      </c>
      <c r="G10" t="s">
        <v>30</v>
      </c>
      <c r="H10" t="s">
        <v>3</v>
      </c>
      <c r="I10" t="s">
        <v>32</v>
      </c>
      <c r="J10" t="s">
        <v>33</v>
      </c>
      <c r="K10" t="s">
        <v>20</v>
      </c>
      <c r="L10" t="s">
        <v>21</v>
      </c>
      <c r="M10" s="10" t="s">
        <v>22</v>
      </c>
      <c r="O10" s="9" t="s">
        <v>26</v>
      </c>
      <c r="P10" s="9" t="s">
        <v>27</v>
      </c>
      <c r="Q10" s="9" t="s">
        <v>23</v>
      </c>
    </row>
    <row r="11" spans="1:19" x14ac:dyDescent="0.5">
      <c r="A11"/>
      <c r="B11"/>
      <c r="C11"/>
      <c r="D11"/>
      <c r="E11"/>
      <c r="F11"/>
      <c r="G11"/>
      <c r="H11"/>
      <c r="I11"/>
      <c r="J11"/>
      <c r="K11"/>
      <c r="L11"/>
      <c r="M11" s="2" t="s">
        <v>34</v>
      </c>
      <c r="N11" s="11"/>
      <c r="O11" s="12">
        <f>B11/10000</f>
        <v>0</v>
      </c>
      <c r="P11" s="12">
        <f>C11/10000</f>
        <v>0</v>
      </c>
      <c r="Q11" s="12">
        <f>D11/10000</f>
        <v>0</v>
      </c>
    </row>
    <row r="12" spans="1:19" x14ac:dyDescent="0.5">
      <c r="M12" s="2" t="s">
        <v>35</v>
      </c>
    </row>
    <row r="13" spans="1:19" x14ac:dyDescent="0.5">
      <c r="M13" s="2" t="s">
        <v>36</v>
      </c>
    </row>
    <row r="14" spans="1:19" x14ac:dyDescent="0.5">
      <c r="M14" s="2" t="s">
        <v>37</v>
      </c>
    </row>
  </sheetData>
  <phoneticPr fontId="3"/>
  <pageMargins left="0.25" right="0.25" top="0.75" bottom="0.75" header="0.3" footer="0.3"/>
  <pageSetup paperSize="9" scale="74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レポート</vt:lpstr>
      <vt:lpstr>合計データ</vt:lpstr>
      <vt:lpstr>合計データ!Print_Area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管理 人事総務</cp:lastModifiedBy>
  <cp:revision>3</cp:revision>
  <cp:lastPrinted>2025-12-27T04:14:19Z</cp:lastPrinted>
  <dcterms:modified xsi:type="dcterms:W3CDTF">2025-12-27T05:25:53Z</dcterms:modified>
  <dc:language>ja-JP</dc:language>
</cp:coreProperties>
</file>