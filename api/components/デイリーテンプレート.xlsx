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almeida.ped_redhorse\Documents\GitHub\rht-hotel\api\components\"/>
    </mc:Choice>
  </mc:AlternateContent>
  <xr:revisionPtr revIDLastSave="0" documentId="13_ncr:1_{DAFB0379-0045-4627-9C34-BB24BC4960EF}" xr6:coauthVersionLast="47" xr6:coauthVersionMax="47" xr10:uidLastSave="{00000000-0000-0000-0000-000000000000}"/>
  <bookViews>
    <workbookView xWindow="-38510" yWindow="-1670" windowWidth="38620" windowHeight="21100" tabRatio="500" activeTab="1" xr2:uid="{00000000-000D-0000-FFFF-FFFF00000000}"/>
  </bookViews>
  <sheets>
    <sheet name="レポート" sheetId="1" r:id="rId1"/>
    <sheet name="合計データ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Q3" i="2" l="1"/>
  <c r="Q4" i="2"/>
  <c r="Q5" i="2"/>
  <c r="Q6" i="2"/>
  <c r="Q7" i="2"/>
  <c r="Q2" i="2"/>
  <c r="A1" i="1"/>
  <c r="P3" i="2"/>
  <c r="P4" i="2"/>
  <c r="P5" i="2"/>
  <c r="P6" i="2"/>
  <c r="P7" i="2"/>
  <c r="P2" i="2"/>
  <c r="O3" i="2"/>
  <c r="O4" i="2"/>
  <c r="O5" i="2"/>
  <c r="O6" i="2"/>
  <c r="O7" i="2"/>
  <c r="O2" i="2"/>
</calcChain>
</file>

<file path=xl/sharedStrings.xml><?xml version="1.0" encoding="utf-8"?>
<sst xmlns="http://schemas.openxmlformats.org/spreadsheetml/2006/main" count="17" uniqueCount="17">
  <si>
    <t>月度</t>
  </si>
  <si>
    <t>計画売上</t>
  </si>
  <si>
    <t>確定泊数</t>
  </si>
  <si>
    <t>計画稼働率</t>
  </si>
  <si>
    <t>前日集計日</t>
  </si>
  <si>
    <t>前日実績売上</t>
  </si>
  <si>
    <t>前日実績稼働率</t>
  </si>
  <si>
    <t>前日確定泊数</t>
  </si>
  <si>
    <t>販売可能室数</t>
  </si>
  <si>
    <t>ブロック数</t>
  </si>
  <si>
    <t>正味販売可能室数</t>
  </si>
  <si>
    <t>実績売上 / 前日比</t>
  </si>
  <si>
    <t>確定泊数2</t>
  </si>
  <si>
    <t>売上　実績/計画（%)</t>
    <rPh sb="0" eb="2">
      <t>ウリアゲ</t>
    </rPh>
    <rPh sb="3" eb="5">
      <t>ジッセキ</t>
    </rPh>
    <rPh sb="6" eb="8">
      <t>ケイカク</t>
    </rPh>
    <phoneticPr fontId="3"/>
  </si>
  <si>
    <t>稼働率　実績/計画（%)</t>
    <rPh sb="0" eb="3">
      <t>カドウリツ</t>
    </rPh>
    <rPh sb="4" eb="6">
      <t>ジッセキ</t>
    </rPh>
    <rPh sb="7" eb="9">
      <t>ケイカク</t>
    </rPh>
    <phoneticPr fontId="3"/>
  </si>
  <si>
    <t>実績稼働率</t>
    <phoneticPr fontId="3"/>
  </si>
  <si>
    <t>稼働率　実績-計画</t>
    <rPh sb="0" eb="3">
      <t>カドウリツ</t>
    </rPh>
    <rPh sb="4" eb="6">
      <t>ジッセキ</t>
    </rPh>
    <rPh sb="7" eb="9">
      <t>ケイカク</t>
    </rPh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</si>
</sst>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 * #,##0_ ;_ * \-#,##0_ ;_ * &quot;-&quot;_ ;_ @_ "/>
    <numFmt numFmtId="176" formatCode="0.0%"/>
  </numFmts>
  <fonts count="9" x14ac:knownFonts="1">
    <font>
      <sz val="10"/>
      <color rgb="FF000000"/>
      <name val="Noto Sans JP"/>
      <family val="2"/>
      <charset val="128"/>
    </font>
    <font>
      <sz val="10"/>
      <name val="Arial"/>
      <family val="2"/>
    </font>
    <font>
      <b/>
      <sz val="16"/>
      <color rgb="FF000000"/>
      <name val="Noto Sans JP"/>
      <family val="2"/>
      <charset val="128"/>
    </font>
    <font>
      <sz val="6"/>
      <name val="Noto Sans JP"/>
      <family val="2"/>
      <charset val="128"/>
    </font>
    <font>
      <sz val="10"/>
      <color rgb="FF000000"/>
      <name val="Noto Sans JP"/>
      <family val="3"/>
      <charset val="128"/>
    </font>
    <font>
      <sz val="10"/>
      <name val="Noto Sans JP"/>
      <family val="3"/>
      <charset val="128"/>
    </font>
    <font>
      <b/>
      <sz val="10"/>
      <color rgb="FF000000"/>
      <name val="Noto Sans JP"/>
      <family val="3"/>
      <charset val="128"/>
    </font>
    <font>
      <b/>
      <sz val="10"/>
      <name val="Noto Sans JP"/>
      <family val="3"/>
      <charset val="128"/>
    </font>
    <font>
      <sz val="10"/>
      <color rgb="FF000000"/>
      <name val="Noto Sans JP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theme="2" tint="-4.9989318521683403E-2"/>
        <bgColor indexed="64"/>
      </patternFill>
    </fill>
  </fills>
  <borders count="2">
    <border>
      <left/>
      <right/>
      <top/>
      <bottom/>
      <diagonal/>
    </border>
    <border>
      <left style="thin">
        <color theme="2" tint="-0.14999847407452621"/>
      </left>
      <right style="thin">
        <color theme="2" tint="-0.14999847407452621"/>
      </right>
      <top style="thin">
        <color theme="2" tint="-0.14999847407452621"/>
      </top>
      <bottom style="thin">
        <color theme="2" tint="-0.14999847407452621"/>
      </bottom>
      <diagonal/>
    </border>
  </borders>
  <cellStyleXfs count="3">
    <xf numFmtId="0" fontId="0" fillId="0" borderId="0"/>
    <xf numFmtId="41" fontId="1" fillId="0" borderId="0" applyBorder="0" applyAlignment="0" applyProtection="0"/>
    <xf numFmtId="9" fontId="8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4" fillId="0" borderId="0" xfId="0" applyFont="1"/>
    <xf numFmtId="41" fontId="5" fillId="0" borderId="0" xfId="1" applyFont="1"/>
    <xf numFmtId="0" fontId="2" fillId="0" borderId="0" xfId="0" applyFont="1" applyAlignment="1">
      <alignment horizontal="center"/>
    </xf>
    <xf numFmtId="0" fontId="6" fillId="0" borderId="1" xfId="0" applyFont="1" applyBorder="1"/>
    <xf numFmtId="41" fontId="7" fillId="0" borderId="1" xfId="1" applyFont="1" applyBorder="1"/>
    <xf numFmtId="0" fontId="4" fillId="0" borderId="1" xfId="0" applyFont="1" applyBorder="1"/>
    <xf numFmtId="41" fontId="5" fillId="0" borderId="1" xfId="1" applyFont="1" applyBorder="1"/>
    <xf numFmtId="176" fontId="4" fillId="0" borderId="1" xfId="0" applyNumberFormat="1" applyFont="1" applyBorder="1"/>
    <xf numFmtId="9" fontId="4" fillId="2" borderId="1" xfId="2" applyFont="1" applyFill="1" applyBorder="1" applyAlignment="1"/>
    <xf numFmtId="176" fontId="1" fillId="2" borderId="1" xfId="1" applyNumberFormat="1" applyFill="1" applyBorder="1"/>
  </cellXfs>
  <cellStyles count="3">
    <cellStyle name="パーセント" xfId="2" builtinId="5"/>
    <cellStyle name="桁区切り" xfId="1" builtinId="6"/>
    <cellStyle name="標準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420E"/>
      <rgbColor rgb="FF666699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3"/>
    </mc:Choice>
    <mc:Fallback>
      <c:style val="3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売上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合計データ!$B$1</c:f>
              <c:strCache>
                <c:ptCount val="1"/>
                <c:pt idx="0">
                  <c:v> 計画売上 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合計データ!$B$2:$B$7</c:f>
              <c:numCache>
                <c:formatCode>_(* #,##0_);_(* \(#,##0\);_(* "-"_);_(@_)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1-4DE4-4EAD-BC38-6F95879CF245}"/>
            </c:ext>
          </c:extLst>
        </c:ser>
        <c:ser>
          <c:idx val="2"/>
          <c:order val="1"/>
          <c:tx>
            <c:strRef>
              <c:f>合計データ!$C$1</c:f>
              <c:strCache>
                <c:ptCount val="1"/>
                <c:pt idx="0">
                  <c:v> 実績売上 / 前日比 </c:v>
                </c:pt>
              </c:strCache>
            </c:strRef>
          </c:tx>
          <c:spPr>
            <a:gradFill>
              <a:gsLst>
                <a:gs pos="0">
                  <a:schemeClr val="accent1">
                    <a:tint val="65000"/>
                    <a:lumMod val="110000"/>
                    <a:tint val="67000"/>
                  </a:schemeClr>
                </a:gs>
                <a:gs pos="50000">
                  <a:schemeClr val="accent1">
                    <a:tint val="65000"/>
                    <a:lumMod val="105000"/>
                    <a:tint val="73000"/>
                  </a:schemeClr>
                </a:gs>
                <a:gs pos="100000">
                  <a:schemeClr val="accent1">
                    <a:tint val="65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1">
                  <a:tint val="65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合計データ!$C$2:$C$7</c:f>
              <c:numCache>
                <c:formatCode>_(* #,##0_);_(* \(#,##0\);_(* "-"_);_(@_)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60EF-4C96-80F0-6CDBE1F66A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0"/>
          <c:order val="2"/>
          <c:tx>
            <c:strRef>
              <c:f>合計データ!$O$1</c:f>
              <c:strCache>
                <c:ptCount val="1"/>
                <c:pt idx="0">
                  <c:v> 売上　実績/計画（%) </c:v>
                </c:pt>
              </c:strCache>
            </c:strRef>
          </c:tx>
          <c:spPr>
            <a:ln w="15875" cap="rnd">
              <a:solidFill>
                <a:schemeClr val="tx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x"/>
            <c:size val="4"/>
            <c:spPr>
              <a:noFill/>
              <a:ln w="9525" cap="flat" cmpd="sng" algn="ctr">
                <a:solidFill>
                  <a:schemeClr val="tx1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val>
            <c:numRef>
              <c:f>合計データ!$O$2:$O$7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A03-4508-9034-FAFB422441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73890128"/>
        <c:axId val="273861328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_(* #,##0_);_(* \(#,##0\);_(* &quot;-&quot;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  <c:dispUnits>
          <c:builtInUnit val="millions"/>
          <c:dispUnitsLbl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</c:dispUnitsLbl>
        </c:dispUnits>
      </c:valAx>
      <c:valAx>
        <c:axId val="273861328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273890128"/>
        <c:crosses val="max"/>
        <c:crossBetween val="between"/>
      </c:valAx>
      <c:catAx>
        <c:axId val="273890128"/>
        <c:scaling>
          <c:orientation val="minMax"/>
        </c:scaling>
        <c:delete val="1"/>
        <c:axPos val="b"/>
        <c:majorTickMark val="out"/>
        <c:minorTickMark val="none"/>
        <c:tickLblPos val="nextTo"/>
        <c:crossAx val="273861328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稼働率　計画ｘ実績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>
        <c:manualLayout>
          <c:layoutTarget val="inner"/>
          <c:xMode val="edge"/>
          <c:yMode val="edge"/>
          <c:x val="2.2174603174603173E-2"/>
          <c:y val="0.13476111111111111"/>
          <c:w val="0.95565079365079364"/>
          <c:h val="0.671459722222222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合計データ!$E$1</c:f>
              <c:strCache>
                <c:ptCount val="1"/>
                <c:pt idx="0">
                  <c:v>計画稼働率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 w="9525" cap="flat" cmpd="sng" algn="ctr">
              <a:noFill/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合計データ!$E$2:$E$7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0-81DA-4FAE-B96D-254BA73285B1}"/>
            </c:ext>
          </c:extLst>
        </c:ser>
        <c:ser>
          <c:idx val="0"/>
          <c:order val="1"/>
          <c:tx>
            <c:strRef>
              <c:f>合計データ!$F$1</c:f>
              <c:strCache>
                <c:ptCount val="1"/>
                <c:pt idx="0">
                  <c:v>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shade val="53000"/>
                    <a:lumMod val="110000"/>
                    <a:tint val="67000"/>
                  </a:schemeClr>
                </a:gs>
                <a:gs pos="50000">
                  <a:schemeClr val="accent2">
                    <a:shade val="53000"/>
                    <a:lumMod val="105000"/>
                    <a:tint val="73000"/>
                  </a:schemeClr>
                </a:gs>
                <a:gs pos="100000">
                  <a:schemeClr val="accent2">
                    <a:shade val="53000"/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53000"/>
                  <a:shade val="95000"/>
                </a:schemeClr>
              </a:solidFill>
              <a:round/>
            </a:ln>
            <a:effectLst/>
          </c:spPr>
          <c:invertIfNegative val="0"/>
          <c:dLbls>
            <c:spPr>
              <a:solidFill>
                <a:schemeClr val="bg1">
                  <a:lumMod val="85000"/>
                  <a:alpha val="40000"/>
                </a:scheme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>
                        <a:lumMod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合計データ!$F$2:$F$7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2-81DA-4FAE-B96D-254BA73285B1}"/>
            </c:ext>
          </c:extLst>
        </c:ser>
        <c:ser>
          <c:idx val="2"/>
          <c:order val="2"/>
          <c:tx>
            <c:strRef>
              <c:f>合計データ!$I$1</c:f>
              <c:strCache>
                <c:ptCount val="1"/>
                <c:pt idx="0">
                  <c:v>前日実績稼働率</c:v>
                </c:pt>
              </c:strCache>
            </c:strRef>
          </c:tx>
          <c:spPr>
            <a:gradFill>
              <a:gsLst>
                <a:gs pos="0">
                  <a:schemeClr val="accent2">
                    <a:lumMod val="110000"/>
                    <a:tint val="67000"/>
                  </a:schemeClr>
                </a:gs>
                <a:gs pos="50000">
                  <a:schemeClr val="accent2">
                    <a:lumMod val="105000"/>
                    <a:tint val="73000"/>
                  </a:schemeClr>
                </a:gs>
                <a:gs pos="100000">
                  <a:schemeClr val="accent2">
                    <a:lumMod val="105000"/>
                    <a:tint val="81000"/>
                  </a:schemeClr>
                </a:gs>
              </a:gsLst>
              <a:lin ang="5400000" scaled="0"/>
              <a:tileRect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/>
          </c:spPr>
          <c:invertIfNegative val="0"/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合計データ!$I$2:$I$7</c:f>
              <c:numCache>
                <c:formatCode>0.0%</c:formatCode>
                <c:ptCount val="6"/>
              </c:numCache>
            </c:numRef>
          </c:val>
          <c:extLst>
            <c:ext xmlns:c16="http://schemas.microsoft.com/office/drawing/2014/chart" uri="{C3380CC4-5D6E-409C-BE32-E72D297353CC}">
              <c16:uniqueId val="{00000003-81DA-4FAE-B96D-254BA73285B1}"/>
            </c:ext>
          </c:extLst>
        </c:ser>
        <c:ser>
          <c:idx val="4"/>
          <c:order val="4"/>
          <c:tx>
            <c:strRef>
              <c:f>合計データ!$Q$1</c:f>
              <c:strCache>
                <c:ptCount val="1"/>
                <c:pt idx="0">
                  <c:v> 稼働率　実績-計画 </c:v>
                </c:pt>
              </c:strCache>
            </c:strRef>
          </c:tx>
          <c:spPr>
            <a:solidFill>
              <a:schemeClr val="accent5">
                <a:lumMod val="20000"/>
                <a:lumOff val="80000"/>
              </a:schemeClr>
            </a:solidFill>
            <a:ln w="9525" cap="flat" cmpd="sng" algn="ctr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accent5">
                        <a:lumMod val="7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合計データ!$Q$2:$Q$7</c:f>
              <c:numCache>
                <c:formatCode>0.0%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127746191"/>
        <c:axId val="1127742831"/>
      </c:barChart>
      <c:lineChart>
        <c:grouping val="standard"/>
        <c:varyColors val="0"/>
        <c:ser>
          <c:idx val="3"/>
          <c:order val="3"/>
          <c:tx>
            <c:strRef>
              <c:f>合計データ!$P$1</c:f>
              <c:strCache>
                <c:ptCount val="1"/>
                <c:pt idx="0">
                  <c:v> 稼働率　実績/計画（%) </c:v>
                </c:pt>
              </c:strCache>
            </c:strRef>
          </c:tx>
          <c:spPr>
            <a:ln w="15875" cap="rnd">
              <a:solidFill>
                <a:schemeClr val="accent2">
                  <a:tint val="77000"/>
                </a:schemeClr>
              </a:solidFill>
              <a:round/>
            </a:ln>
            <a:effectLst/>
          </c:spPr>
          <c:marker>
            <c:symbol val="circle"/>
            <c:size val="4"/>
            <c:spPr>
              <a:gradFill>
                <a:gsLst>
                  <a:gs pos="0">
                    <a:schemeClr val="accent2">
                      <a:tint val="77000"/>
                      <a:lumMod val="110000"/>
                      <a:tint val="67000"/>
                    </a:schemeClr>
                  </a:gs>
                  <a:gs pos="50000">
                    <a:schemeClr val="accent2">
                      <a:tint val="77000"/>
                      <a:lumMod val="105000"/>
                      <a:tint val="73000"/>
                    </a:schemeClr>
                  </a:gs>
                  <a:gs pos="100000">
                    <a:schemeClr val="accent2">
                      <a:tint val="77000"/>
                      <a:lumMod val="105000"/>
                      <a:tint val="81000"/>
                    </a:schemeClr>
                  </a:gs>
                </a:gsLst>
                <a:lin ang="5400000" scaled="0"/>
                <a:tileRect/>
              </a:gradFill>
              <a:ln w="9525" cap="flat" cmpd="sng" algn="ctr">
                <a:solidFill>
                  <a:schemeClr val="accent2">
                    <a:tint val="77000"/>
                    <a:shade val="95000"/>
                  </a:schemeClr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2">
                        <a:lumMod val="85000"/>
                        <a:lumOff val="1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ja-JP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合計データ!$A$2:$A$7</c:f>
              <c:numCache>
                <c:formatCode>General</c:formatCode>
                <c:ptCount val="6"/>
              </c:numCache>
            </c:numRef>
          </c:cat>
          <c:val>
            <c:numRef>
              <c:f>合計データ!$P$2:$P$7</c:f>
              <c:numCache>
                <c:formatCode>0%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1DA-4FAE-B96D-254BA73285B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85398336"/>
        <c:axId val="785404576"/>
      </c:lineChart>
      <c:catAx>
        <c:axId val="11277461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2831"/>
        <c:crosses val="autoZero"/>
        <c:auto val="1"/>
        <c:lblAlgn val="ctr"/>
        <c:lblOffset val="100"/>
        <c:noMultiLvlLbl val="0"/>
      </c:catAx>
      <c:valAx>
        <c:axId val="1127742831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1127746191"/>
        <c:crosses val="autoZero"/>
        <c:crossBetween val="between"/>
      </c:valAx>
      <c:valAx>
        <c:axId val="785404576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785398336"/>
        <c:crosses val="max"/>
        <c:crossBetween val="between"/>
      </c:valAx>
      <c:catAx>
        <c:axId val="785398336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785404576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015873015873015E-2"/>
          <c:y val="0.86612250000000002"/>
          <c:w val="0.74688095238095242"/>
          <c:h val="0.1072411111111111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25" r="0.25" t="0.75" header="0.3" footer="0.3"/>
    <c:pageSetup paperSize="9"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withinLinear" id="14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66675</xdr:colOff>
      <xdr:row>1</xdr:row>
      <xdr:rowOff>63500</xdr:rowOff>
    </xdr:from>
    <xdr:to>
      <xdr:col>7</xdr:col>
      <xdr:colOff>721525</xdr:colOff>
      <xdr:row>15</xdr:row>
      <xdr:rowOff>9800</xdr:rowOff>
    </xdr:to>
    <xdr:graphicFrame macro="">
      <xdr:nvGraphicFramePr>
        <xdr:cNvPr id="3" name="グラフ 2">
          <a:extLst>
            <a:ext uri="{FF2B5EF4-FFF2-40B4-BE49-F238E27FC236}">
              <a16:creationId xmlns:a16="http://schemas.microsoft.com/office/drawing/2014/main" id="{BEE7CA60-B789-41D3-8938-8CDEF57C7C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66675</xdr:colOff>
      <xdr:row>15</xdr:row>
      <xdr:rowOff>76200</xdr:rowOff>
    </xdr:from>
    <xdr:to>
      <xdr:col>7</xdr:col>
      <xdr:colOff>721525</xdr:colOff>
      <xdr:row>32</xdr:row>
      <xdr:rowOff>113850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57877FE9-1284-4683-A848-0A0FBF92EA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1"/>
  <sheetViews>
    <sheetView zoomScaleNormal="100" workbookViewId="0">
      <selection activeCell="J30" sqref="J30"/>
    </sheetView>
  </sheetViews>
  <sheetFormatPr defaultColWidth="11.54296875" defaultRowHeight="16.5" x14ac:dyDescent="0.5"/>
  <sheetData>
    <row r="1" spans="1:8" ht="30" customHeight="1" x14ac:dyDescent="0.75">
      <c r="A1" s="3" t="str">
        <f ca="1">_xlfn.CONCAT("デイリーレポート - ",TEXT(TODAY(),"yy年mm月dd日"))</f>
        <v>デイリーレポート - 25年12月27日</v>
      </c>
      <c r="B1" s="3"/>
      <c r="C1" s="3"/>
      <c r="D1" s="3"/>
      <c r="E1" s="3"/>
      <c r="F1" s="3"/>
      <c r="G1" s="3"/>
      <c r="H1" s="3"/>
    </row>
  </sheetData>
  <mergeCells count="1">
    <mergeCell ref="A1:H1"/>
  </mergeCells>
  <phoneticPr fontId="3"/>
  <pageMargins left="0.78749999999999998" right="0.78749999999999998" top="1.05277777777778" bottom="1.05277777777778" header="0.78749999999999998" footer="0.78749999999999998"/>
  <pageSetup paperSize="9" fitToHeight="0" orientation="portrait" horizontalDpi="300" verticalDpi="300" r:id="rId1"/>
  <headerFooter>
    <oddHeader>&amp;C&amp;"Times New Roman,標準"&amp;12&amp;Kffffff&amp;A</oddHeader>
    <oddFooter>&amp;C&amp;"Times New Roman,標準"&amp;12&amp;Kffffffページ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7"/>
  <sheetViews>
    <sheetView tabSelected="1" zoomScaleNormal="100" workbookViewId="0">
      <selection activeCell="A2" sqref="A2:N8"/>
    </sheetView>
  </sheetViews>
  <sheetFormatPr defaultColWidth="11.54296875" defaultRowHeight="16.5" x14ac:dyDescent="0.5"/>
  <cols>
    <col min="1" max="1" width="7.90625" style="1" bestFit="1" customWidth="1"/>
    <col min="2" max="2" width="12.26953125" style="2" bestFit="1" customWidth="1"/>
    <col min="3" max="3" width="17.08984375" style="2" bestFit="1" customWidth="1"/>
    <col min="4" max="4" width="9.453125" style="2" bestFit="1" customWidth="1"/>
    <col min="5" max="6" width="10.36328125" style="1" bestFit="1" customWidth="1"/>
    <col min="7" max="7" width="10.6328125" style="1" bestFit="1" customWidth="1"/>
    <col min="8" max="8" width="13.36328125" style="2" bestFit="1" customWidth="1"/>
    <col min="9" max="9" width="14.36328125" style="1" bestFit="1" customWidth="1"/>
    <col min="10" max="10" width="13.36328125" style="2" bestFit="1" customWidth="1"/>
    <col min="11" max="11" width="10.6328125" style="2" bestFit="1" customWidth="1"/>
    <col min="12" max="12" width="13.36328125" style="2" bestFit="1" customWidth="1"/>
    <col min="13" max="13" width="11.36328125" style="2" bestFit="1" customWidth="1"/>
    <col min="14" max="14" width="17.26953125" style="2" bestFit="1" customWidth="1"/>
    <col min="15" max="15" width="20.7265625" style="1" bestFit="1" customWidth="1"/>
    <col min="16" max="16" width="22.6328125" style="1" bestFit="1" customWidth="1"/>
    <col min="17" max="17" width="18" style="1" bestFit="1" customWidth="1"/>
    <col min="18" max="16384" width="11.54296875" style="1"/>
  </cols>
  <sheetData>
    <row r="1" spans="1:17" x14ac:dyDescent="0.5">
      <c r="A1" s="4" t="s">
        <v>0</v>
      </c>
      <c r="B1" s="5" t="s">
        <v>1</v>
      </c>
      <c r="C1" s="5" t="s">
        <v>11</v>
      </c>
      <c r="D1" s="5" t="s">
        <v>2</v>
      </c>
      <c r="E1" s="4" t="s">
        <v>3</v>
      </c>
      <c r="F1" s="4" t="s">
        <v>15</v>
      </c>
      <c r="G1" s="4" t="s">
        <v>4</v>
      </c>
      <c r="H1" s="5" t="s">
        <v>5</v>
      </c>
      <c r="I1" s="4" t="s">
        <v>6</v>
      </c>
      <c r="J1" s="5" t="s">
        <v>7</v>
      </c>
      <c r="K1" s="5" t="s">
        <v>12</v>
      </c>
      <c r="L1" s="5" t="s">
        <v>8</v>
      </c>
      <c r="M1" s="5" t="s">
        <v>9</v>
      </c>
      <c r="N1" s="5" t="s">
        <v>10</v>
      </c>
      <c r="O1" s="5" t="s">
        <v>13</v>
      </c>
      <c r="P1" s="5" t="s">
        <v>14</v>
      </c>
      <c r="Q1" s="5" t="s">
        <v>16</v>
      </c>
    </row>
    <row r="2" spans="1:17" x14ac:dyDescent="0.5">
      <c r="A2" s="6"/>
      <c r="B2" s="7"/>
      <c r="C2" s="7"/>
      <c r="D2" s="7"/>
      <c r="E2" s="8"/>
      <c r="F2" s="8"/>
      <c r="G2" s="6"/>
      <c r="H2" s="7"/>
      <c r="I2" s="8"/>
      <c r="J2" s="7"/>
      <c r="K2" s="7"/>
      <c r="L2" s="7"/>
      <c r="M2" s="7"/>
      <c r="N2" s="7"/>
      <c r="O2" s="9" t="e">
        <f>C2/B2</f>
        <v>#DIV/0!</v>
      </c>
      <c r="P2" s="9" t="e">
        <f>F2/E2</f>
        <v>#DIV/0!</v>
      </c>
      <c r="Q2" s="10">
        <f>F2-I2</f>
        <v>0</v>
      </c>
    </row>
    <row r="3" spans="1:17" x14ac:dyDescent="0.5">
      <c r="A3" s="6"/>
      <c r="B3" s="7"/>
      <c r="C3" s="7"/>
      <c r="D3" s="7"/>
      <c r="E3" s="8"/>
      <c r="F3" s="8"/>
      <c r="G3" s="6"/>
      <c r="H3" s="7"/>
      <c r="I3" s="8"/>
      <c r="J3" s="7"/>
      <c r="K3" s="7"/>
      <c r="L3" s="7"/>
      <c r="M3" s="7"/>
      <c r="N3" s="7"/>
      <c r="O3" s="9" t="e">
        <f t="shared" ref="O3:O7" si="0">C3/B3</f>
        <v>#DIV/0!</v>
      </c>
      <c r="P3" s="9" t="e">
        <f t="shared" ref="P3:P7" si="1">F3/E3</f>
        <v>#DIV/0!</v>
      </c>
      <c r="Q3" s="10">
        <f t="shared" ref="Q3:Q7" si="2">F3-I3</f>
        <v>0</v>
      </c>
    </row>
    <row r="4" spans="1:17" x14ac:dyDescent="0.5">
      <c r="A4" s="6"/>
      <c r="B4" s="7"/>
      <c r="C4" s="7"/>
      <c r="D4" s="7"/>
      <c r="E4" s="8"/>
      <c r="F4" s="8"/>
      <c r="G4" s="6"/>
      <c r="H4" s="7"/>
      <c r="I4" s="8"/>
      <c r="J4" s="7"/>
      <c r="K4" s="7"/>
      <c r="L4" s="7"/>
      <c r="M4" s="7"/>
      <c r="N4" s="7"/>
      <c r="O4" s="9" t="e">
        <f t="shared" si="0"/>
        <v>#DIV/0!</v>
      </c>
      <c r="P4" s="9" t="e">
        <f t="shared" si="1"/>
        <v>#DIV/0!</v>
      </c>
      <c r="Q4" s="10">
        <f t="shared" si="2"/>
        <v>0</v>
      </c>
    </row>
    <row r="5" spans="1:17" x14ac:dyDescent="0.5">
      <c r="A5" s="6"/>
      <c r="B5" s="7"/>
      <c r="C5" s="7"/>
      <c r="D5" s="7"/>
      <c r="E5" s="8"/>
      <c r="F5" s="8"/>
      <c r="G5" s="6"/>
      <c r="H5" s="7"/>
      <c r="I5" s="8"/>
      <c r="J5" s="7"/>
      <c r="K5" s="7"/>
      <c r="L5" s="7"/>
      <c r="M5" s="7"/>
      <c r="N5" s="7"/>
      <c r="O5" s="9" t="e">
        <f t="shared" si="0"/>
        <v>#DIV/0!</v>
      </c>
      <c r="P5" s="9" t="e">
        <f t="shared" si="1"/>
        <v>#DIV/0!</v>
      </c>
      <c r="Q5" s="10">
        <f t="shared" si="2"/>
        <v>0</v>
      </c>
    </row>
    <row r="6" spans="1:17" x14ac:dyDescent="0.5">
      <c r="A6" s="6"/>
      <c r="B6" s="7"/>
      <c r="C6" s="7"/>
      <c r="D6" s="7"/>
      <c r="E6" s="8"/>
      <c r="F6" s="8"/>
      <c r="G6" s="6"/>
      <c r="H6" s="7"/>
      <c r="I6" s="8"/>
      <c r="J6" s="7"/>
      <c r="K6" s="7"/>
      <c r="L6" s="7"/>
      <c r="M6" s="7"/>
      <c r="N6" s="7"/>
      <c r="O6" s="9" t="e">
        <f t="shared" si="0"/>
        <v>#DIV/0!</v>
      </c>
      <c r="P6" s="9" t="e">
        <f t="shared" si="1"/>
        <v>#DIV/0!</v>
      </c>
      <c r="Q6" s="10">
        <f t="shared" si="2"/>
        <v>0</v>
      </c>
    </row>
    <row r="7" spans="1:17" x14ac:dyDescent="0.5">
      <c r="A7" s="6"/>
      <c r="B7" s="7"/>
      <c r="C7" s="7"/>
      <c r="D7" s="7"/>
      <c r="E7" s="8"/>
      <c r="F7" s="8"/>
      <c r="G7" s="6"/>
      <c r="H7" s="7"/>
      <c r="I7" s="8"/>
      <c r="J7" s="7"/>
      <c r="K7" s="7"/>
      <c r="L7" s="7"/>
      <c r="M7" s="7"/>
      <c r="N7" s="7"/>
      <c r="O7" s="9" t="e">
        <f t="shared" si="0"/>
        <v>#DIV/0!</v>
      </c>
      <c r="P7" s="9" t="e">
        <f t="shared" si="1"/>
        <v>#DIV/0!</v>
      </c>
      <c r="Q7" s="10">
        <f t="shared" si="2"/>
        <v>0</v>
      </c>
    </row>
  </sheetData>
  <phoneticPr fontId="3"/>
  <pageMargins left="0.78749999999999998" right="0.78749999999999998" top="1.05277777777778" bottom="1.05277777777778" header="0.78749999999999998" footer="0.78749999999999998"/>
  <pageSetup paperSize="9" scale="56" fitToHeight="0" orientation="landscape" horizontalDpi="300" verticalDpi="300" r:id="rId1"/>
  <headerFooter>
    <oddHeader>&amp;C&amp;"Times New Roman,標準"&amp;12&amp;Kffffff&amp;A</oddHeader>
    <oddFooter>&amp;C&amp;"Times New Roman,標準"&amp;12&amp;Kffffffページ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レポート</vt:lpstr>
      <vt:lpstr>合計データ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管理 人事総務</cp:lastModifiedBy>
  <cp:revision>3</cp:revision>
  <dcterms:modified xsi:type="dcterms:W3CDTF">2025-12-27T02:47:31Z</dcterms:modified>
  <dc:language>ja-JP</dc:language>
</cp:coreProperties>
</file>